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ofA\pdf_pathology\cvat_pathology\cmd\"/>
    </mc:Choice>
  </mc:AlternateContent>
  <xr:revisionPtr revIDLastSave="0" documentId="13_ncr:1_{7658B7E0-4F37-4E6C-91F1-E75647208398}" xr6:coauthVersionLast="47" xr6:coauthVersionMax="47" xr10:uidLastSave="{00000000-0000-0000-0000-000000000000}"/>
  <bookViews>
    <workbookView xWindow="-19310" yWindow="-10660" windowWidth="19420" windowHeight="10770" xr2:uid="{00000000-000D-0000-FFFF-FFFF00000000}"/>
  </bookViews>
  <sheets>
    <sheet name="OCTOBER_2024" sheetId="1" r:id="rId1"/>
    <sheet name="PDL1-2026" sheetId="2" r:id="rId2"/>
    <sheet name="OCTOBER_2024-tiles and WSIs" sheetId="3" r:id="rId3"/>
  </sheets>
  <definedNames>
    <definedName name="_xlchart.v1.0" hidden="1">OCTOBER_2024!$B$2:$B$55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56" i="3" l="1"/>
  <c r="C55" i="3"/>
  <c r="C54" i="3"/>
  <c r="C53" i="3"/>
  <c r="C52" i="3"/>
  <c r="C51" i="3"/>
  <c r="C50" i="3"/>
  <c r="C49" i="3"/>
  <c r="C48" i="3"/>
  <c r="C47" i="3"/>
  <c r="C46" i="3"/>
  <c r="C45" i="3"/>
  <c r="C44" i="3"/>
  <c r="C43" i="3"/>
  <c r="C42" i="3"/>
  <c r="C41" i="3"/>
  <c r="C40" i="3"/>
  <c r="C39" i="3"/>
  <c r="C38" i="3"/>
  <c r="C37" i="3"/>
  <c r="C36" i="3"/>
  <c r="C35" i="3"/>
  <c r="C34" i="3"/>
  <c r="C33" i="3"/>
  <c r="C32" i="3"/>
  <c r="C31" i="3"/>
  <c r="C30" i="3"/>
  <c r="C29" i="3"/>
  <c r="C28" i="3"/>
  <c r="C27" i="3"/>
  <c r="C26" i="3"/>
  <c r="C25" i="3"/>
  <c r="C24" i="3"/>
  <c r="C23" i="3"/>
  <c r="C22" i="3"/>
  <c r="C21" i="3"/>
  <c r="C20" i="3"/>
  <c r="C19" i="3"/>
  <c r="C18" i="3"/>
  <c r="C17" i="3"/>
  <c r="C16" i="3"/>
  <c r="C15" i="3"/>
  <c r="C14" i="3"/>
  <c r="C13" i="3"/>
  <c r="C12" i="3"/>
  <c r="C11" i="3"/>
  <c r="C10" i="3"/>
  <c r="C9" i="3"/>
  <c r="C8" i="3"/>
  <c r="C7" i="3"/>
  <c r="C6" i="3"/>
  <c r="C5" i="3"/>
  <c r="C4" i="3"/>
  <c r="C3" i="3"/>
  <c r="C2" i="3"/>
  <c r="N38" i="2"/>
  <c r="K25" i="2"/>
  <c r="H29" i="2"/>
  <c r="E38" i="2"/>
  <c r="B26" i="2"/>
  <c r="N53" i="1"/>
  <c r="N55" i="1"/>
  <c r="N35" i="1"/>
  <c r="N34" i="1"/>
  <c r="N54" i="1"/>
  <c r="N42" i="1"/>
  <c r="N39" i="1"/>
  <c r="N7" i="1"/>
  <c r="N17" i="1"/>
  <c r="N40" i="1"/>
  <c r="N47" i="1"/>
  <c r="N18" i="1"/>
  <c r="N48" i="1"/>
  <c r="N23" i="1"/>
  <c r="N2" i="1"/>
  <c r="N27" i="1"/>
  <c r="N32" i="1"/>
  <c r="N29" i="1"/>
  <c r="N25" i="1"/>
  <c r="N50" i="1"/>
  <c r="N21" i="1"/>
  <c r="N9" i="1"/>
  <c r="N52" i="1"/>
  <c r="N51" i="1"/>
  <c r="N46" i="1"/>
  <c r="N8" i="1"/>
  <c r="N20" i="1"/>
  <c r="N36" i="1"/>
  <c r="N31" i="1"/>
  <c r="N41" i="1"/>
  <c r="N33" i="1"/>
  <c r="N26" i="1"/>
  <c r="N5" i="1"/>
  <c r="N6" i="1"/>
  <c r="N14" i="1"/>
  <c r="N16" i="1"/>
  <c r="N38" i="1"/>
  <c r="N37" i="1"/>
  <c r="N11" i="1"/>
  <c r="N45" i="1"/>
  <c r="N30" i="1"/>
  <c r="N22" i="1"/>
  <c r="N4" i="1"/>
  <c r="N43" i="1"/>
  <c r="N3" i="1"/>
  <c r="N49" i="1"/>
  <c r="N12" i="1"/>
  <c r="N44" i="1"/>
  <c r="N13" i="1"/>
  <c r="N10" i="1"/>
  <c r="N24" i="1"/>
  <c r="N15" i="1"/>
  <c r="N19" i="1"/>
  <c r="N28" i="1"/>
  <c r="I54" i="1"/>
  <c r="I56" i="1"/>
  <c r="I35" i="1"/>
  <c r="I37" i="1"/>
  <c r="I55" i="1"/>
  <c r="I42" i="1"/>
  <c r="I43" i="1"/>
  <c r="I7" i="1"/>
  <c r="I16" i="1"/>
  <c r="I38" i="1"/>
  <c r="I47" i="1"/>
  <c r="I21" i="1"/>
  <c r="I49" i="1"/>
  <c r="I19" i="1"/>
  <c r="I23" i="1"/>
  <c r="I3" i="1"/>
  <c r="I25" i="1"/>
  <c r="I32" i="1"/>
  <c r="I31" i="1"/>
  <c r="I24" i="1"/>
  <c r="I53" i="1"/>
  <c r="I20" i="1"/>
  <c r="I12" i="1"/>
  <c r="I51" i="1"/>
  <c r="I52" i="1"/>
  <c r="I48" i="1"/>
  <c r="I6" i="1"/>
  <c r="I26" i="1"/>
  <c r="I40" i="1"/>
  <c r="I30" i="1"/>
  <c r="I36" i="1"/>
  <c r="I34" i="1"/>
  <c r="I29" i="1"/>
  <c r="I5" i="1"/>
  <c r="I8" i="1"/>
  <c r="I13" i="1"/>
  <c r="I17" i="1"/>
  <c r="I39" i="1"/>
  <c r="I45" i="1"/>
  <c r="I10" i="1"/>
  <c r="I44" i="1"/>
  <c r="I28" i="1"/>
  <c r="I27" i="1"/>
  <c r="I4" i="1"/>
  <c r="I41" i="1"/>
  <c r="I2" i="1"/>
  <c r="I50" i="1"/>
  <c r="I9" i="1"/>
  <c r="I46" i="1"/>
  <c r="I14" i="1"/>
  <c r="I11" i="1"/>
  <c r="I22" i="1"/>
  <c r="I15" i="1"/>
  <c r="I18" i="1"/>
  <c r="I33" i="1"/>
  <c r="D52" i="1"/>
  <c r="D55" i="1"/>
  <c r="D35" i="1"/>
  <c r="D34" i="1"/>
  <c r="D54" i="1"/>
  <c r="D42" i="1"/>
  <c r="D37" i="1"/>
  <c r="D4" i="1"/>
  <c r="D17" i="1"/>
  <c r="D38" i="1"/>
  <c r="D48" i="1"/>
  <c r="D23" i="1"/>
  <c r="D49" i="1"/>
  <c r="D22" i="1"/>
  <c r="D2" i="1"/>
  <c r="D28" i="1"/>
  <c r="D30" i="1"/>
  <c r="D33" i="1"/>
  <c r="D20" i="1"/>
  <c r="D50" i="1"/>
  <c r="D21" i="1"/>
  <c r="D8" i="1"/>
  <c r="D51" i="1"/>
  <c r="D53" i="1"/>
  <c r="D45" i="1"/>
  <c r="D11" i="1"/>
  <c r="D19" i="1"/>
  <c r="D36" i="1"/>
  <c r="D26" i="1"/>
  <c r="D40" i="1"/>
  <c r="D31" i="1"/>
  <c r="D27" i="1"/>
  <c r="D6" i="1"/>
  <c r="D7" i="1"/>
  <c r="D14" i="1"/>
  <c r="D15" i="1"/>
  <c r="D39" i="1"/>
  <c r="D44" i="1"/>
  <c r="D10" i="1"/>
  <c r="D46" i="1"/>
  <c r="D32" i="1"/>
  <c r="D24" i="1"/>
  <c r="D5" i="1"/>
  <c r="D41" i="1"/>
  <c r="D3" i="1"/>
  <c r="D47" i="1"/>
  <c r="D12" i="1"/>
  <c r="D43" i="1"/>
  <c r="D13" i="1"/>
  <c r="D9" i="1"/>
  <c r="D25" i="1"/>
  <c r="D16" i="1"/>
  <c r="D18" i="1"/>
  <c r="D29" i="1"/>
</calcChain>
</file>

<file path=xl/sharedStrings.xml><?xml version="1.0" encoding="utf-8"?>
<sst xmlns="http://schemas.openxmlformats.org/spreadsheetml/2006/main" count="442" uniqueCount="370">
  <si>
    <t>ER/CHS24-006429_ER_3</t>
  </si>
  <si>
    <t>ER/CHS24-007401_ER_0</t>
  </si>
  <si>
    <t>ER/CHS24-007458_ER_0</t>
  </si>
  <si>
    <t>ER/CHS24-008310_ER_1</t>
  </si>
  <si>
    <t>ER/CIS24-001205_ER_3</t>
  </si>
  <si>
    <t>ER/CIS24-001247_ER_1</t>
  </si>
  <si>
    <t>ER/CIS24-001287_ER_4</t>
  </si>
  <si>
    <t>ER/CIS24-001315_ER_0</t>
  </si>
  <si>
    <t>ER/CIS24-001354_ER_2</t>
  </si>
  <si>
    <t>ER/CIS24-001364_ER_1</t>
  </si>
  <si>
    <t>ER/CIS24-001389_ER_1</t>
  </si>
  <si>
    <t>ER/FHS24-022297_ER_0</t>
  </si>
  <si>
    <t>ER/FHS24-022393_ER_1</t>
  </si>
  <si>
    <t>ER/FHS24-022828_*_ER_2</t>
  </si>
  <si>
    <t>ER/FHS24-022970_ER_4</t>
  </si>
  <si>
    <t>ER/FHS24-023014_ER_0</t>
  </si>
  <si>
    <t>ER/FHS24-023560_ER_3</t>
  </si>
  <si>
    <t>ER/FHS24-023677_ER_0</t>
  </si>
  <si>
    <t>ER/FHS24-023729_ER_2</t>
  </si>
  <si>
    <t>ER/FHS24-024290_ER_1</t>
  </si>
  <si>
    <t>ER/FHS24-024704_ER_2</t>
  </si>
  <si>
    <t>ER/FHS24-025355_ER_3</t>
  </si>
  <si>
    <t>ER/FHS24-025854_ER_3</t>
  </si>
  <si>
    <t>ER/FHS24-026202_ER_4</t>
  </si>
  <si>
    <t>ER/GPS24-005104_ER_1</t>
  </si>
  <si>
    <t>ER/GPS24-005933_ER_1</t>
  </si>
  <si>
    <t>ER/MHS24-004971_*_ER_3</t>
  </si>
  <si>
    <t>ER/MIS24-008871_ER_1</t>
  </si>
  <si>
    <t>ER/MIS24-009224_ER_1</t>
  </si>
  <si>
    <t>ER/MIS24-009267_ER_2</t>
  </si>
  <si>
    <t>ER/MIS24-009309_ER_1</t>
  </si>
  <si>
    <t>ER/PLS24-008288_ER_2</t>
  </si>
  <si>
    <t>ER/PLS24-008478_ER_2</t>
  </si>
  <si>
    <t>ER/PLS24-008523_ER_0</t>
  </si>
  <si>
    <t>ER/PLS24-008551_ER_2</t>
  </si>
  <si>
    <t>ER/PLS24-008657_ER_2</t>
  </si>
  <si>
    <t>ER/PLS24-008895_ER_2</t>
  </si>
  <si>
    <t>ER/PLS24-009125_ER_3</t>
  </si>
  <si>
    <t>ER/PLS24-009291_ER_1</t>
  </si>
  <si>
    <t>ER/PLS24-009296_ER_2</t>
  </si>
  <si>
    <t>ER/PLS24-009337_ER_2</t>
  </si>
  <si>
    <t>ER/PLS24-009608_ER_1</t>
  </si>
  <si>
    <t>ER/RDS24-015540_ER_2</t>
  </si>
  <si>
    <t>ER/RDS24-016016_ER_3</t>
  </si>
  <si>
    <t>ER/RDS24-016403_ER_1</t>
  </si>
  <si>
    <t>ER/RDS24-017228_ER_4</t>
  </si>
  <si>
    <t>ER/RDS24-017233_ER_4</t>
  </si>
  <si>
    <t>ER/RDS24-017563_ER_0</t>
  </si>
  <si>
    <t>ER/SGS24-005052_*_ER_0</t>
  </si>
  <si>
    <t>ER/SGS24-006209_ER_4</t>
  </si>
  <si>
    <t>ER/SGS24-006327_ER_3</t>
  </si>
  <si>
    <t>ER/SGS24-06113_*_ER_3</t>
  </si>
  <si>
    <t>ER/SH24-006537_ER_3</t>
  </si>
  <si>
    <t>ER/UAS24-022563_ER_3</t>
  </si>
  <si>
    <t>PR/CHS24-006429_PR_2</t>
  </si>
  <si>
    <t>PR/CHS24-007401_PR_3</t>
  </si>
  <si>
    <t>PR/CHS24-007458_PR_3</t>
  </si>
  <si>
    <t>PR/CHS24-008310_PR_4</t>
  </si>
  <si>
    <t>PR/CIS24-001205_PR_2</t>
  </si>
  <si>
    <t>PR/CIS24-001247_*_PR_2</t>
  </si>
  <si>
    <t>PR/CIS24-001287_PR_3</t>
  </si>
  <si>
    <t>PR/CIS24-001315_PR_2</t>
  </si>
  <si>
    <t>PR/CIS24-001354_*_PR_0</t>
  </si>
  <si>
    <t>PR/CIS24-001364_PR_0</t>
  </si>
  <si>
    <t>PR/CIS24-001389_PR_0</t>
  </si>
  <si>
    <t>PR/FHS24-022297_PR_3</t>
  </si>
  <si>
    <t>PR/FHS24-022393_PR_3</t>
  </si>
  <si>
    <t>PR/FHS24-022828_PR_4</t>
  </si>
  <si>
    <t>PR/FHS24-022970_PR_0</t>
  </si>
  <si>
    <t>PR/FHS24-023014_PR_3</t>
  </si>
  <si>
    <t>PR/FHS24-023560_PR_2</t>
  </si>
  <si>
    <t>PR/FHS24-023677_PR_4</t>
  </si>
  <si>
    <t>PR/FHS24-023729_PR_1</t>
  </si>
  <si>
    <t>PR/FHS24-024290_PR_4</t>
  </si>
  <si>
    <t>PR/FHS24-024704_PR_4</t>
  </si>
  <si>
    <t>PR/FHS24-025355_PR_0</t>
  </si>
  <si>
    <t>PR/FHS24-025854_*_PR_1</t>
  </si>
  <si>
    <t>PR/FHS24-026202_PR_1</t>
  </si>
  <si>
    <t>PR/GPS24-005104_PR_3</t>
  </si>
  <si>
    <t>PR/GPS24-005933_PR_2</t>
  </si>
  <si>
    <t>PR/MHS24-004971_PR_1</t>
  </si>
  <si>
    <t>PR/MIS24-008871_PR_2</t>
  </si>
  <si>
    <t>PR/MIS24-009224_PR_4</t>
  </si>
  <si>
    <t>PR/MIS24-009267_PR_1</t>
  </si>
  <si>
    <t>PR/MIS24-009309_PR_0</t>
  </si>
  <si>
    <t>PR/PLS24-008288_PR_1</t>
  </si>
  <si>
    <t>PR/PLS24-008478_PR_4</t>
  </si>
  <si>
    <t>PR/PLS24-008523_PR_1</t>
  </si>
  <si>
    <t>PR/PLS24-008551_PR_3</t>
  </si>
  <si>
    <t>PR/PLS24-008657_PR_1</t>
  </si>
  <si>
    <t>PR/PLS24-008895_PR_4</t>
  </si>
  <si>
    <t>PR/PLS24-009125_PR_4</t>
  </si>
  <si>
    <t>PR/PLS24-009291_*_PR_4</t>
  </si>
  <si>
    <t>PR/PLS24-009296_PR_3</t>
  </si>
  <si>
    <t>PR/PLS24-009337_PR_0</t>
  </si>
  <si>
    <t>PR/PLS24-009396_PR_1</t>
  </si>
  <si>
    <t>PR/PLS24-009608_PR_2</t>
  </si>
  <si>
    <t>PR/RDS24-015540_*_PR_4</t>
  </si>
  <si>
    <t>PR/RDS24-016016_*_PR_0</t>
  </si>
  <si>
    <t>PR/RDS24-016403_PR_0</t>
  </si>
  <si>
    <t>PR/RDS24-017228_PR_0</t>
  </si>
  <si>
    <t>PR/RDS24-017233_*_PR_3</t>
  </si>
  <si>
    <t>PR/RDS24-017563_PR_2</t>
  </si>
  <si>
    <t>PR/SGS24-005052_PR_3</t>
  </si>
  <si>
    <t>PR/SGS24-006209_PR_1</t>
  </si>
  <si>
    <t>PR/SGS24-006327_PR_4</t>
  </si>
  <si>
    <t>PR/SGS24-06113_PR_2</t>
  </si>
  <si>
    <t>PR/SH24-006537_PR_2</t>
  </si>
  <si>
    <t>PR/UAS24-022563_PR_2</t>
  </si>
  <si>
    <t>Ki67/CHS24-006429_KI67_4</t>
  </si>
  <si>
    <t>Ki67/CHS24-007401_KI67_1</t>
  </si>
  <si>
    <t>Ki67/CHS24-007458_KI67_2</t>
  </si>
  <si>
    <t>Ki67/CHS24-008310_KI67_0</t>
  </si>
  <si>
    <t>Ki67/CIS24-001205_KI67_4</t>
  </si>
  <si>
    <t>Ki67/CIS24-001247_*_KI67_0</t>
  </si>
  <si>
    <t>Ki67/CIS24-001287_KI67_2</t>
  </si>
  <si>
    <t>Ki67/CIS24-001315_KI67_4</t>
  </si>
  <si>
    <t>Ki67/CIS24-001354_KI67_1</t>
  </si>
  <si>
    <t>Ki67/CIS24-001364_*_KI67_3</t>
  </si>
  <si>
    <t>Ki67/CIS24-001389_KI67_2</t>
  </si>
  <si>
    <t>Ki67/FHS24-022297_KI67_2</t>
  </si>
  <si>
    <t>Ki67/FHS24-022393_KI67_2</t>
  </si>
  <si>
    <t>Ki67/FHS24-022828_KI67_3</t>
  </si>
  <si>
    <t>Ki67/FHS24-022970_KI67_2</t>
  </si>
  <si>
    <t>Ki67/FHS24-023014_KI67_1</t>
  </si>
  <si>
    <t>Ki67/FHS24-023560_KI67_1</t>
  </si>
  <si>
    <t>Ki67/FHS24-023677_KI67_2</t>
  </si>
  <si>
    <t>Ki67/FHS24-023729_KI67_3</t>
  </si>
  <si>
    <t>Ki67/FHS24-024290_KI67_3</t>
  </si>
  <si>
    <t>Ki67/FHS24-024704_KI67_1</t>
  </si>
  <si>
    <t>Ki67/FHS24-025355_KI67_2</t>
  </si>
  <si>
    <t>Ki67/FHS24-025854_KI67_2</t>
  </si>
  <si>
    <t>Ki67/FHS24-026202_KI67_2</t>
  </si>
  <si>
    <t>Ki67/GPS24-005104_KI67_4</t>
  </si>
  <si>
    <t>Ki67/GPS24-005933_KI67_0</t>
  </si>
  <si>
    <t>Ki67/MHS24-004971_KI67_4</t>
  </si>
  <si>
    <t>Ki67/MIS24-008871_*_KI67_4</t>
  </si>
  <si>
    <t>Ki67/MIS24-009224_KI67_0</t>
  </si>
  <si>
    <t>Ki67/MIS24-009267_*_KI67_3</t>
  </si>
  <si>
    <t>Ki67/MIS24-009309_KI67_3</t>
  </si>
  <si>
    <t>Ki67/PLS24-008288_KI67_4</t>
  </si>
  <si>
    <t>Ki67/PLS24-008478_KI67_3</t>
  </si>
  <si>
    <t>Ki67/PLS24-008523_KI67_2</t>
  </si>
  <si>
    <t>Ki67/PLS24-008551_KI67_1</t>
  </si>
  <si>
    <t>Ki67/PLS24-008657_KI67_4</t>
  </si>
  <si>
    <t>Ki67/PLS24-008895_KI67_0</t>
  </si>
  <si>
    <t>Ki67/PLS24-009125_KI67_1</t>
  </si>
  <si>
    <t>Ki67/PLS24-009291_KI67_2</t>
  </si>
  <si>
    <t>Ki67/PLS24-009296_KI67_0</t>
  </si>
  <si>
    <t>Ki67/PLS24-009337_KI67_1</t>
  </si>
  <si>
    <t>Ki67/PLS24-009608_KI67_3</t>
  </si>
  <si>
    <t>Ki67/RDS24-015540_KI67_1</t>
  </si>
  <si>
    <t>Ki67/RDS24-016016_KI67_1</t>
  </si>
  <si>
    <t>Ki67/RDS24-016403_KI67_3</t>
  </si>
  <si>
    <t>Ki67/RDS24-017228_KI67_1</t>
  </si>
  <si>
    <t>Ki67/RDS24-017233_KI67_1</t>
  </si>
  <si>
    <t>Ki67/RDS24-017563_KI67_3</t>
  </si>
  <si>
    <t>Ki67/SGS24-005052_*_KI67_1</t>
  </si>
  <si>
    <t>Ki67/SGS24-006209_KI67_3</t>
  </si>
  <si>
    <t>Ki67/SGS24-006327_KI67_2</t>
  </si>
  <si>
    <t>Ki67/SGS24-06113_*_KI67_4</t>
  </si>
  <si>
    <t>Ki67/SH24-006537_KI67_4</t>
  </si>
  <si>
    <t>Ki67/UAS24-022563_KI67_1</t>
  </si>
  <si>
    <t>n_files</t>
  </si>
  <si>
    <t>cumulative</t>
  </si>
  <si>
    <t>chunks</t>
  </si>
  <si>
    <t>wsi</t>
  </si>
  <si>
    <t>TNBC-Tiles/256/D1</t>
  </si>
  <si>
    <t>TNBC-Tiles/256/D10</t>
  </si>
  <si>
    <t>TNBC-Tiles/256/D11</t>
  </si>
  <si>
    <t>TNBC-Tiles/256/D12</t>
  </si>
  <si>
    <t>TNBC-Tiles/256/D13</t>
  </si>
  <si>
    <t>TNBC-Tiles/256/D14</t>
  </si>
  <si>
    <t>TNBC-Tiles/256/D15</t>
  </si>
  <si>
    <t>TNBC-Tiles/256/D16</t>
  </si>
  <si>
    <t>TNBC-Tiles/256/D17</t>
  </si>
  <si>
    <t>TNBC-Tiles/256/D18</t>
  </si>
  <si>
    <t>TNBC-Tiles/256/D19</t>
  </si>
  <si>
    <t>TNBC-Tiles/256/D2</t>
  </si>
  <si>
    <t>TNBC-Tiles/256/D20</t>
  </si>
  <si>
    <t>TNBC-Tiles/256/D21</t>
  </si>
  <si>
    <t>TNBC-Tiles/256/D22</t>
  </si>
  <si>
    <t>TNBC-Tiles/256/D23</t>
  </si>
  <si>
    <t>TNBC-Tiles/256/D24</t>
  </si>
  <si>
    <t>TNBC-Tiles/256/D3</t>
  </si>
  <si>
    <t>TNBC-Tiles/256/D4</t>
  </si>
  <si>
    <t>TNBC-Tiles/256/D5</t>
  </si>
  <si>
    <t>TNBC-Tiles/256/D6</t>
  </si>
  <si>
    <t>TNBC-Tiles/256/D7</t>
  </si>
  <si>
    <t>TNBC-Tiles/256/D8</t>
  </si>
  <si>
    <t>TNBC-Tiles/256/D9</t>
  </si>
  <si>
    <t>HNSCC-Tiles/256/A1</t>
  </si>
  <si>
    <t>HNSCC-Tiles/256/A10</t>
  </si>
  <si>
    <t>HNSCC-Tiles/256/A11</t>
  </si>
  <si>
    <t>HNSCC-Tiles/256/A12</t>
  </si>
  <si>
    <t>HNSCC-Tiles/256/A13</t>
  </si>
  <si>
    <t>HNSCC-Tiles/256/A14</t>
  </si>
  <si>
    <t>HNSCC-Tiles/256/A15</t>
  </si>
  <si>
    <t>HNSCC-Tiles/256/A16</t>
  </si>
  <si>
    <t>HNSCC-Tiles/256/A17</t>
  </si>
  <si>
    <t>HNSCC-Tiles/256/A18</t>
  </si>
  <si>
    <t>HNSCC-Tiles/256/A19</t>
  </si>
  <si>
    <t>HNSCC-Tiles/256/A2</t>
  </si>
  <si>
    <t>HNSCC-Tiles/256/A20</t>
  </si>
  <si>
    <t>HNSCC-Tiles/256/A21</t>
  </si>
  <si>
    <t>HNSCC-Tiles/256/A22</t>
  </si>
  <si>
    <t>HNSCC-Tiles/256/A23</t>
  </si>
  <si>
    <t>HNSCC-Tiles/256/A24</t>
  </si>
  <si>
    <t>HNSCC-Tiles/256/A25</t>
  </si>
  <si>
    <t>HNSCC-Tiles/256/A26</t>
  </si>
  <si>
    <t>HNSCC-Tiles/256/A27</t>
  </si>
  <si>
    <t>HNSCC-Tiles/256/A28</t>
  </si>
  <si>
    <t>HNSCC-Tiles/256/A29</t>
  </si>
  <si>
    <t>HNSCC-Tiles/256/A3</t>
  </si>
  <si>
    <t>HNSCC-Tiles/256/A30</t>
  </si>
  <si>
    <t>HNSCC-Tiles/256/A31</t>
  </si>
  <si>
    <t>HNSCC-Tiles/256/A32</t>
  </si>
  <si>
    <t>HNSCC-Tiles/256/A33</t>
  </si>
  <si>
    <t>HNSCC-Tiles/256/A34</t>
  </si>
  <si>
    <t>HNSCC-Tiles/256/A35</t>
  </si>
  <si>
    <t>HNSCC-Tiles/256/A36</t>
  </si>
  <si>
    <t>HNSCC-Tiles/256/A4</t>
  </si>
  <si>
    <t>HNSCC-Tiles/256/A5</t>
  </si>
  <si>
    <t>HNSCC-Tiles/256/A6</t>
  </si>
  <si>
    <t>HNSCC-Tiles/256/A7</t>
  </si>
  <si>
    <t>HNSCC-Tiles/256/A8</t>
  </si>
  <si>
    <t>HNSCC-Tiles/256/A9</t>
  </si>
  <si>
    <t>NSCLC-Tiles/256/B1</t>
  </si>
  <si>
    <t>NSCLC-Tiles/256/B10</t>
  </si>
  <si>
    <t>NSCLC-Tiles/256/B11</t>
  </si>
  <si>
    <t>NSCLC-Tiles/256/B12</t>
  </si>
  <si>
    <t>NSCLC-Tiles/256/B13</t>
  </si>
  <si>
    <t>NSCLC-Tiles/256/B14</t>
  </si>
  <si>
    <t>NSCLC-Tiles/256/B15</t>
  </si>
  <si>
    <t>NSCLC-Tiles/256/B16</t>
  </si>
  <si>
    <t>NSCLC-Tiles/256/B17</t>
  </si>
  <si>
    <t>NSCLC-Tiles/256/B18</t>
  </si>
  <si>
    <t>NSCLC-Tiles/256/B19</t>
  </si>
  <si>
    <t>NSCLC-Tiles/256/B2</t>
  </si>
  <si>
    <t>NSCLC-Tiles/256/B20</t>
  </si>
  <si>
    <t>NSCLC-Tiles/256/B21</t>
  </si>
  <si>
    <t>NSCLC-Tiles/256/B22</t>
  </si>
  <si>
    <t>NSCLC-Tiles/256/B23</t>
  </si>
  <si>
    <t>NSCLC-Tiles/256/B24</t>
  </si>
  <si>
    <t>NSCLC-Tiles/256/B25</t>
  </si>
  <si>
    <t>NSCLC-Tiles/256/B26</t>
  </si>
  <si>
    <t>NSCLC-Tiles/256/B27</t>
  </si>
  <si>
    <t>NSCLC-Tiles/256/B3</t>
  </si>
  <si>
    <t>NSCLC-Tiles/256/B4</t>
  </si>
  <si>
    <t>NSCLC-Tiles/256/B5</t>
  </si>
  <si>
    <t>NSCLC-Tiles/256/B6</t>
  </si>
  <si>
    <t>NSCLC-Tiles/256/B7</t>
  </si>
  <si>
    <t>NSCLC-Tiles/256/B8</t>
  </si>
  <si>
    <t>NSCLC-Tiles/256/B9</t>
  </si>
  <si>
    <t>Cervix-Tiles/256/C1</t>
  </si>
  <si>
    <t>Cervix-Tiles/256/C10</t>
  </si>
  <si>
    <t>Cervix-Tiles/256/C11</t>
  </si>
  <si>
    <t>Cervix-Tiles/256/C12</t>
  </si>
  <si>
    <t>Cervix-Tiles/256/C13</t>
  </si>
  <si>
    <t>Cervix-Tiles/256/C14</t>
  </si>
  <si>
    <t>Cervix-Tiles/256/C15</t>
  </si>
  <si>
    <t>Cervix-Tiles/256/C16</t>
  </si>
  <si>
    <t>Cervix-Tiles/256/C17</t>
  </si>
  <si>
    <t>Cervix-Tiles/256/C18</t>
  </si>
  <si>
    <t>Cervix-Tiles/256/C19</t>
  </si>
  <si>
    <t>Cervix-Tiles/256/C2</t>
  </si>
  <si>
    <t>Cervix-Tiles/256/C20</t>
  </si>
  <si>
    <t>Cervix-Tiles/256/C21</t>
  </si>
  <si>
    <t>Cervix-Tiles/256/C22</t>
  </si>
  <si>
    <t>Cervix-Tiles/256/C23</t>
  </si>
  <si>
    <t>Cervix-Tiles/256/C3</t>
  </si>
  <si>
    <t>Cervix-Tiles/256/C4</t>
  </si>
  <si>
    <t>Cervix-Tiles/256/C5</t>
  </si>
  <si>
    <t>Cervix-Tiles/256/C6</t>
  </si>
  <si>
    <t>Cervix-Tiles/256/C7</t>
  </si>
  <si>
    <t>Cervix-Tiles/256/C8</t>
  </si>
  <si>
    <t>Cervix-Tiles/256/C9</t>
  </si>
  <si>
    <t>UpperGI-Tiles/256/E1</t>
  </si>
  <si>
    <t>UpperGI-Tiles/256/E10</t>
  </si>
  <si>
    <t>UpperGI-Tiles/256/E11</t>
  </si>
  <si>
    <t>UpperGI-Tiles/256/E12</t>
  </si>
  <si>
    <t>UpperGI-Tiles/256/E13</t>
  </si>
  <si>
    <t>UpperGI-Tiles/256/E14</t>
  </si>
  <si>
    <t>UpperGI-Tiles/256/E15</t>
  </si>
  <si>
    <t>UpperGI-Tiles/256/E16</t>
  </si>
  <si>
    <t>UpperGI-Tiles/256/E17</t>
  </si>
  <si>
    <t>UpperGI-Tiles/256/E18</t>
  </si>
  <si>
    <t>UpperGI-Tiles/256/E19</t>
  </si>
  <si>
    <t>UpperGI-Tiles/256/E2</t>
  </si>
  <si>
    <t>UpperGI-Tiles/256/E20</t>
  </si>
  <si>
    <t>UpperGI-Tiles/256/E21</t>
  </si>
  <si>
    <t>UpperGI-Tiles/256/E22</t>
  </si>
  <si>
    <t>UpperGI-Tiles/256/E23</t>
  </si>
  <si>
    <t>UpperGI-Tiles/256/E24</t>
  </si>
  <si>
    <t>UpperGI-Tiles/256/E25</t>
  </si>
  <si>
    <t>UpperGI-Tiles/256/E26</t>
  </si>
  <si>
    <t>UpperGI-Tiles/256/E27</t>
  </si>
  <si>
    <t>UpperGI-Tiles/256/E28</t>
  </si>
  <si>
    <t>UpperGI-Tiles/256/E29</t>
  </si>
  <si>
    <t>UpperGI-Tiles/256/E3</t>
  </si>
  <si>
    <t>UpperGI-Tiles/256/E30</t>
  </si>
  <si>
    <t>UpperGI-Tiles/256/E31</t>
  </si>
  <si>
    <t>UpperGI-Tiles/256/E32</t>
  </si>
  <si>
    <t>UpperGI-Tiles/256/E33</t>
  </si>
  <si>
    <t>UpperGI-Tiles/256/E34</t>
  </si>
  <si>
    <t>UpperGI-Tiles/256/E35</t>
  </si>
  <si>
    <t>UpperGI-Tiles/256/E36</t>
  </si>
  <si>
    <t>UpperGI-Tiles/256/E4</t>
  </si>
  <si>
    <t>UpperGI-Tiles/256/E5</t>
  </si>
  <si>
    <t>UpperGI-Tiles/256/E6</t>
  </si>
  <si>
    <t>UpperGI-Tiles/256/E7</t>
  </si>
  <si>
    <t>UpperGI-Tiles/256/E8</t>
  </si>
  <si>
    <t>UpperGI-Tiles/256/E9</t>
  </si>
  <si>
    <t>CHS24-006429_ER_3</t>
  </si>
  <si>
    <t>CHS24-007401_ER_0</t>
  </si>
  <si>
    <t>CHS24-007458_ER_0</t>
  </si>
  <si>
    <t>CHS24-008310_ER_1</t>
  </si>
  <si>
    <t>CIS24-001205_ER_3</t>
  </si>
  <si>
    <t>CIS24-001247_ER_1</t>
  </si>
  <si>
    <t>CIS24-001287_ER_4</t>
  </si>
  <si>
    <t>CIS24-001315_ER_0</t>
  </si>
  <si>
    <t>CIS24-001354_ER_2</t>
  </si>
  <si>
    <t>CIS24-001364_ER_1</t>
  </si>
  <si>
    <t>CIS24-001389_ER_1</t>
  </si>
  <si>
    <t>FHS24-022297_ER_0</t>
  </si>
  <si>
    <t>FHS24-022393_ER_1</t>
  </si>
  <si>
    <t>FHS24-022828_*_ER_2</t>
  </si>
  <si>
    <t>FHS24-022970_ER_4</t>
  </si>
  <si>
    <t>FHS24-023014_ER_0</t>
  </si>
  <si>
    <t>FHS24-023560_ER_3</t>
  </si>
  <si>
    <t>FHS24-023677_ER_0</t>
  </si>
  <si>
    <t>FHS24-023729_ER_2</t>
  </si>
  <si>
    <t>FHS24-024290_ER_1</t>
  </si>
  <si>
    <t>FHS24-024704_ER_2</t>
  </si>
  <si>
    <t>FHS24-025355_ER_3</t>
  </si>
  <si>
    <t>FHS24-025854_ER_3</t>
  </si>
  <si>
    <t>FHS24-026202_ER_4</t>
  </si>
  <si>
    <t>GPS24-005104_ER_1</t>
  </si>
  <si>
    <t>GPS24-005933_ER_1</t>
  </si>
  <si>
    <t>MHS24-004971_*_ER_3</t>
  </si>
  <si>
    <t>MIS24-008871_ER_1</t>
  </si>
  <si>
    <t>MIS24-009224_ER_1</t>
  </si>
  <si>
    <t>MIS24-009267_ER_2</t>
  </si>
  <si>
    <t>MIS24-009309_ER_1</t>
  </si>
  <si>
    <t>PLS24-008288_ER_2</t>
  </si>
  <si>
    <t>PLS24-008478_ER_2</t>
  </si>
  <si>
    <t>PLS24-008523_ER_0</t>
  </si>
  <si>
    <t>PLS24-008551_ER_2</t>
  </si>
  <si>
    <t>PLS24-008657_ER_2</t>
  </si>
  <si>
    <t>PLS24-008895_ER_2</t>
  </si>
  <si>
    <t>PLS24-009125_ER_3</t>
  </si>
  <si>
    <t>PLS24-009291_ER_1</t>
  </si>
  <si>
    <t>PLS24-009296_ER_2</t>
  </si>
  <si>
    <t>PLS24-009337_ER_2</t>
  </si>
  <si>
    <t>PLS24-009608_ER_1</t>
  </si>
  <si>
    <t>RDS24-015540_ER_2</t>
  </si>
  <si>
    <t>RDS24-016016_ER_3</t>
  </si>
  <si>
    <t>RDS24-016403_ER_1</t>
  </si>
  <si>
    <t>RDS24-017228_ER_4</t>
  </si>
  <si>
    <t>RDS24-017233_ER_4</t>
  </si>
  <si>
    <t>RDS24-017563_ER_0</t>
  </si>
  <si>
    <t>SGS24-005052_*_ER_0</t>
  </si>
  <si>
    <t>SGS24-006209_ER_4</t>
  </si>
  <si>
    <t>SGS24-006327_ER_3</t>
  </si>
  <si>
    <t>SGS24-06113_*_ER_3</t>
  </si>
  <si>
    <t>SH24-006537_ER_3</t>
  </si>
  <si>
    <t>UAS24-022563_ER_3</t>
  </si>
  <si>
    <t>SH24-006537_ER_0</t>
  </si>
  <si>
    <t>WSIs</t>
  </si>
  <si>
    <t>Tiles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</si>
</sst>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/>
    <cx:plotArea>
      <cx:plotAreaRegion>
        <cx:series layoutId="clusteredColumn" uniqueId="{D17ACD1C-72B4-404D-8C2F-7FC3C20F3DA9}">
          <cx:dataId val="0"/>
          <cx:layoutPr>
            <cx:binning intervalClosed="r">
              <cx:binSize val="999.3039215686274"/>
            </cx:binning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200025</xdr:colOff>
      <xdr:row>43</xdr:row>
      <xdr:rowOff>165100</xdr:rowOff>
    </xdr:from>
    <xdr:to>
      <xdr:col>10</xdr:col>
      <xdr:colOff>225425</xdr:colOff>
      <xdr:row>58</xdr:row>
      <xdr:rowOff>146050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05A69BBF-1C43-EB74-BFAC-EF32E352E6D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584575" y="808355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CA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6"/>
  <sheetViews>
    <sheetView tabSelected="1" workbookViewId="0">
      <selection activeCell="G2" sqref="G2"/>
    </sheetView>
  </sheetViews>
  <sheetFormatPr defaultRowHeight="14.5" x14ac:dyDescent="0.35"/>
  <cols>
    <col min="1" max="1" width="22.26953125" customWidth="1"/>
    <col min="3" max="3" width="7.36328125" customWidth="1"/>
    <col min="6" max="6" width="21.453125" customWidth="1"/>
    <col min="11" max="11" width="22.08984375" customWidth="1"/>
  </cols>
  <sheetData>
    <row r="1" spans="1:14" x14ac:dyDescent="0.35">
      <c r="A1" t="s">
        <v>166</v>
      </c>
      <c r="B1" t="s">
        <v>163</v>
      </c>
      <c r="C1" t="s">
        <v>164</v>
      </c>
      <c r="D1" t="s">
        <v>165</v>
      </c>
      <c r="F1" t="s">
        <v>166</v>
      </c>
      <c r="G1" t="s">
        <v>163</v>
      </c>
      <c r="H1" t="s">
        <v>164</v>
      </c>
      <c r="I1" t="s">
        <v>165</v>
      </c>
      <c r="K1" t="s">
        <v>166</v>
      </c>
      <c r="L1" t="s">
        <v>163</v>
      </c>
      <c r="M1" t="s">
        <v>164</v>
      </c>
      <c r="N1" t="s">
        <v>165</v>
      </c>
    </row>
    <row r="2" spans="1:14" x14ac:dyDescent="0.35">
      <c r="A2" t="s">
        <v>39</v>
      </c>
      <c r="B2">
        <v>3489</v>
      </c>
      <c r="C2">
        <v>840785</v>
      </c>
      <c r="D2">
        <f>B2/1000</f>
        <v>3.4889999999999999</v>
      </c>
      <c r="F2" t="s">
        <v>63</v>
      </c>
      <c r="G2">
        <v>1844</v>
      </c>
      <c r="H2">
        <v>174155</v>
      </c>
      <c r="I2">
        <f>G2/1000</f>
        <v>1.8440000000000001</v>
      </c>
      <c r="K2" t="s">
        <v>148</v>
      </c>
      <c r="L2">
        <v>2428</v>
      </c>
      <c r="M2">
        <v>796585</v>
      </c>
      <c r="N2">
        <f>L2/1000</f>
        <v>2.4279999999999999</v>
      </c>
    </row>
    <row r="3" spans="1:14" x14ac:dyDescent="0.35">
      <c r="A3" t="s">
        <v>9</v>
      </c>
      <c r="B3">
        <v>3577</v>
      </c>
      <c r="C3">
        <v>170920</v>
      </c>
      <c r="D3">
        <f>B3/1000</f>
        <v>3.577</v>
      </c>
      <c r="F3" t="s">
        <v>93</v>
      </c>
      <c r="G3">
        <v>2680</v>
      </c>
      <c r="H3">
        <v>823878</v>
      </c>
      <c r="I3">
        <f>G3/1000</f>
        <v>2.68</v>
      </c>
      <c r="K3" t="s">
        <v>118</v>
      </c>
      <c r="L3">
        <v>4636</v>
      </c>
      <c r="M3">
        <v>167107</v>
      </c>
      <c r="N3">
        <f>L3/1000</f>
        <v>4.6360000000000001</v>
      </c>
    </row>
    <row r="4" spans="1:14" x14ac:dyDescent="0.35">
      <c r="A4" t="s">
        <v>46</v>
      </c>
      <c r="B4">
        <v>4183</v>
      </c>
      <c r="C4">
        <v>1008248</v>
      </c>
      <c r="D4">
        <f>B4/1000</f>
        <v>4.1829999999999998</v>
      </c>
      <c r="F4" t="s">
        <v>65</v>
      </c>
      <c r="G4">
        <v>4603</v>
      </c>
      <c r="H4">
        <v>211192</v>
      </c>
      <c r="I4">
        <f>G4/1000</f>
        <v>4.6029999999999998</v>
      </c>
      <c r="K4" t="s">
        <v>120</v>
      </c>
      <c r="L4">
        <v>4807</v>
      </c>
      <c r="M4">
        <v>204911</v>
      </c>
      <c r="N4">
        <f>L4/1000</f>
        <v>4.8070000000000004</v>
      </c>
    </row>
    <row r="5" spans="1:14" x14ac:dyDescent="0.35">
      <c r="A5" t="s">
        <v>11</v>
      </c>
      <c r="B5">
        <v>4913</v>
      </c>
      <c r="C5">
        <v>206648</v>
      </c>
      <c r="D5">
        <f>B5/1000</f>
        <v>4.9130000000000003</v>
      </c>
      <c r="F5" t="s">
        <v>75</v>
      </c>
      <c r="G5">
        <v>5296</v>
      </c>
      <c r="H5">
        <v>387544</v>
      </c>
      <c r="I5">
        <f>G5/1000</f>
        <v>5.2960000000000003</v>
      </c>
      <c r="K5" t="s">
        <v>130</v>
      </c>
      <c r="L5">
        <v>4870</v>
      </c>
      <c r="M5">
        <v>369586</v>
      </c>
      <c r="N5">
        <f>L5/1000</f>
        <v>4.87</v>
      </c>
    </row>
    <row r="6" spans="1:14" x14ac:dyDescent="0.35">
      <c r="A6" t="s">
        <v>21</v>
      </c>
      <c r="B6">
        <v>5528</v>
      </c>
      <c r="C6">
        <v>393657</v>
      </c>
      <c r="D6">
        <f>B6/1000</f>
        <v>5.5279999999999996</v>
      </c>
      <c r="F6" t="s">
        <v>82</v>
      </c>
      <c r="G6">
        <v>5389</v>
      </c>
      <c r="H6">
        <v>528415</v>
      </c>
      <c r="I6">
        <f>G6/1000</f>
        <v>5.3890000000000002</v>
      </c>
      <c r="K6" t="s">
        <v>129</v>
      </c>
      <c r="L6">
        <v>5669</v>
      </c>
      <c r="M6">
        <v>364716</v>
      </c>
      <c r="N6">
        <f>L6/1000</f>
        <v>5.6689999999999996</v>
      </c>
    </row>
    <row r="7" spans="1:14" x14ac:dyDescent="0.35">
      <c r="A7" t="s">
        <v>20</v>
      </c>
      <c r="B7">
        <v>5911</v>
      </c>
      <c r="C7">
        <v>388129</v>
      </c>
      <c r="D7">
        <f>B7/1000</f>
        <v>5.9109999999999996</v>
      </c>
      <c r="F7" t="s">
        <v>101</v>
      </c>
      <c r="G7">
        <v>5579</v>
      </c>
      <c r="H7">
        <v>998140</v>
      </c>
      <c r="I7">
        <f>G7/1000</f>
        <v>5.5789999999999997</v>
      </c>
      <c r="K7" t="s">
        <v>155</v>
      </c>
      <c r="L7">
        <v>5981</v>
      </c>
      <c r="M7">
        <v>956629</v>
      </c>
      <c r="N7">
        <f>L7/1000</f>
        <v>5.9809999999999999</v>
      </c>
    </row>
    <row r="8" spans="1:14" x14ac:dyDescent="0.35">
      <c r="A8" t="s">
        <v>32</v>
      </c>
      <c r="B8">
        <v>7136</v>
      </c>
      <c r="C8">
        <v>690268</v>
      </c>
      <c r="D8">
        <f>B8/1000</f>
        <v>7.1360000000000001</v>
      </c>
      <c r="F8" t="s">
        <v>74</v>
      </c>
      <c r="G8">
        <v>5958</v>
      </c>
      <c r="H8">
        <v>382248</v>
      </c>
      <c r="I8">
        <f>G8/1000</f>
        <v>5.9580000000000002</v>
      </c>
      <c r="K8" t="s">
        <v>137</v>
      </c>
      <c r="L8">
        <v>6170</v>
      </c>
      <c r="M8">
        <v>506998</v>
      </c>
      <c r="N8">
        <f>L8/1000</f>
        <v>6.17</v>
      </c>
    </row>
    <row r="9" spans="1:14" x14ac:dyDescent="0.35">
      <c r="A9" t="s">
        <v>4</v>
      </c>
      <c r="B9">
        <v>7277</v>
      </c>
      <c r="C9">
        <v>69760</v>
      </c>
      <c r="D9">
        <f>B9/1000</f>
        <v>7.2770000000000001</v>
      </c>
      <c r="F9" t="s">
        <v>61</v>
      </c>
      <c r="G9">
        <v>6624</v>
      </c>
      <c r="H9">
        <v>125750</v>
      </c>
      <c r="I9">
        <f>G9/1000</f>
        <v>6.6239999999999997</v>
      </c>
      <c r="K9" t="s">
        <v>141</v>
      </c>
      <c r="L9">
        <v>6792</v>
      </c>
      <c r="M9">
        <v>656620</v>
      </c>
      <c r="N9">
        <f>L9/1000</f>
        <v>6.7919999999999998</v>
      </c>
    </row>
    <row r="10" spans="1:14" x14ac:dyDescent="0.35">
      <c r="A10" t="s">
        <v>15</v>
      </c>
      <c r="B10">
        <v>7848</v>
      </c>
      <c r="C10">
        <v>294909</v>
      </c>
      <c r="D10">
        <f>B10/1000</f>
        <v>7.8479999999999999</v>
      </c>
      <c r="F10" t="s">
        <v>69</v>
      </c>
      <c r="G10">
        <v>8440</v>
      </c>
      <c r="H10">
        <v>288458</v>
      </c>
      <c r="I10">
        <f>G10/1000</f>
        <v>8.44</v>
      </c>
      <c r="K10" t="s">
        <v>113</v>
      </c>
      <c r="L10">
        <v>6813</v>
      </c>
      <c r="M10">
        <v>63156</v>
      </c>
      <c r="N10">
        <f>L10/1000</f>
        <v>6.8129999999999997</v>
      </c>
    </row>
    <row r="11" spans="1:14" x14ac:dyDescent="0.35">
      <c r="A11" t="s">
        <v>28</v>
      </c>
      <c r="B11">
        <v>8381</v>
      </c>
      <c r="C11">
        <v>533383</v>
      </c>
      <c r="D11">
        <f>B11/1000</f>
        <v>8.3810000000000002</v>
      </c>
      <c r="F11" t="s">
        <v>58</v>
      </c>
      <c r="G11">
        <v>8798</v>
      </c>
      <c r="H11">
        <v>70988</v>
      </c>
      <c r="I11">
        <f>G11/1000</f>
        <v>8.798</v>
      </c>
      <c r="K11" t="s">
        <v>124</v>
      </c>
      <c r="L11">
        <v>7271</v>
      </c>
      <c r="M11">
        <v>281975</v>
      </c>
      <c r="N11">
        <f>L11/1000</f>
        <v>7.2709999999999999</v>
      </c>
    </row>
    <row r="12" spans="1:14" x14ac:dyDescent="0.35">
      <c r="A12" t="s">
        <v>7</v>
      </c>
      <c r="B12">
        <v>8875</v>
      </c>
      <c r="C12">
        <v>123228</v>
      </c>
      <c r="D12">
        <f>B12/1000</f>
        <v>8.875</v>
      </c>
      <c r="F12" t="s">
        <v>86</v>
      </c>
      <c r="G12">
        <v>8939</v>
      </c>
      <c r="H12">
        <v>683497</v>
      </c>
      <c r="I12">
        <f>G12/1000</f>
        <v>8.9390000000000001</v>
      </c>
      <c r="K12" t="s">
        <v>116</v>
      </c>
      <c r="L12">
        <v>8521</v>
      </c>
      <c r="M12">
        <v>115997</v>
      </c>
      <c r="N12">
        <f>L12/1000</f>
        <v>8.5210000000000008</v>
      </c>
    </row>
    <row r="13" spans="1:14" x14ac:dyDescent="0.35">
      <c r="A13" t="s">
        <v>5</v>
      </c>
      <c r="B13">
        <v>9040</v>
      </c>
      <c r="C13">
        <v>78800</v>
      </c>
      <c r="D13">
        <f>B13/1000</f>
        <v>9.0399999999999991</v>
      </c>
      <c r="F13" t="s">
        <v>73</v>
      </c>
      <c r="G13">
        <v>9225</v>
      </c>
      <c r="H13">
        <v>376290</v>
      </c>
      <c r="I13">
        <f>G13/1000</f>
        <v>9.2249999999999996</v>
      </c>
      <c r="K13" t="s">
        <v>114</v>
      </c>
      <c r="L13">
        <v>9242</v>
      </c>
      <c r="M13">
        <v>72398</v>
      </c>
      <c r="N13">
        <f>L13/1000</f>
        <v>9.2420000000000009</v>
      </c>
    </row>
    <row r="14" spans="1:14" x14ac:dyDescent="0.35">
      <c r="A14" t="s">
        <v>19</v>
      </c>
      <c r="B14">
        <v>10320</v>
      </c>
      <c r="C14">
        <v>382218</v>
      </c>
      <c r="D14">
        <f>B14/1000</f>
        <v>10.32</v>
      </c>
      <c r="F14" t="s">
        <v>59</v>
      </c>
      <c r="G14">
        <v>9234</v>
      </c>
      <c r="H14">
        <v>80222</v>
      </c>
      <c r="I14">
        <f>G14/1000</f>
        <v>9.234</v>
      </c>
      <c r="K14" t="s">
        <v>128</v>
      </c>
      <c r="L14">
        <v>9275</v>
      </c>
      <c r="M14">
        <v>359047</v>
      </c>
      <c r="N14">
        <f>L14/1000</f>
        <v>9.2750000000000004</v>
      </c>
    </row>
    <row r="15" spans="1:14" x14ac:dyDescent="0.35">
      <c r="A15" t="s">
        <v>18</v>
      </c>
      <c r="B15">
        <v>10643</v>
      </c>
      <c r="C15">
        <v>371898</v>
      </c>
      <c r="D15">
        <f>B15/1000</f>
        <v>10.643000000000001</v>
      </c>
      <c r="F15" t="s">
        <v>56</v>
      </c>
      <c r="G15">
        <v>10459</v>
      </c>
      <c r="H15">
        <v>47914</v>
      </c>
      <c r="I15">
        <f>G15/1000</f>
        <v>10.459</v>
      </c>
      <c r="K15" t="s">
        <v>111</v>
      </c>
      <c r="L15">
        <v>9720</v>
      </c>
      <c r="M15">
        <v>41781</v>
      </c>
      <c r="N15">
        <f>L15/1000</f>
        <v>9.7200000000000006</v>
      </c>
    </row>
    <row r="16" spans="1:14" x14ac:dyDescent="0.35">
      <c r="A16" t="s">
        <v>2</v>
      </c>
      <c r="B16">
        <v>10933</v>
      </c>
      <c r="C16">
        <v>46888</v>
      </c>
      <c r="D16">
        <f>B16/1000</f>
        <v>10.933</v>
      </c>
      <c r="F16" t="s">
        <v>100</v>
      </c>
      <c r="G16">
        <v>11524</v>
      </c>
      <c r="H16">
        <v>992561</v>
      </c>
      <c r="I16">
        <f>G16/1000</f>
        <v>11.523999999999999</v>
      </c>
      <c r="K16" t="s">
        <v>127</v>
      </c>
      <c r="L16">
        <v>10297</v>
      </c>
      <c r="M16">
        <v>349772</v>
      </c>
      <c r="N16">
        <f>L16/1000</f>
        <v>10.297000000000001</v>
      </c>
    </row>
    <row r="17" spans="1:14" x14ac:dyDescent="0.35">
      <c r="A17" t="s">
        <v>45</v>
      </c>
      <c r="B17">
        <v>11947</v>
      </c>
      <c r="C17">
        <v>1004065</v>
      </c>
      <c r="D17">
        <f>B17/1000</f>
        <v>11.946999999999999</v>
      </c>
      <c r="F17" t="s">
        <v>72</v>
      </c>
      <c r="G17">
        <v>11712</v>
      </c>
      <c r="H17">
        <v>367065</v>
      </c>
      <c r="I17">
        <f>G17/1000</f>
        <v>11.712</v>
      </c>
      <c r="K17" t="s">
        <v>154</v>
      </c>
      <c r="L17">
        <v>11223</v>
      </c>
      <c r="M17">
        <v>950648</v>
      </c>
      <c r="N17">
        <f>L17/1000</f>
        <v>11.223000000000001</v>
      </c>
    </row>
    <row r="18" spans="1:14" x14ac:dyDescent="0.35">
      <c r="A18" t="s">
        <v>1</v>
      </c>
      <c r="B18">
        <v>13646</v>
      </c>
      <c r="C18">
        <v>35955</v>
      </c>
      <c r="D18">
        <f>B18/1000</f>
        <v>13.646000000000001</v>
      </c>
      <c r="F18" t="s">
        <v>55</v>
      </c>
      <c r="G18">
        <v>13341</v>
      </c>
      <c r="H18">
        <v>37455</v>
      </c>
      <c r="I18">
        <f>G18/1000</f>
        <v>13.340999999999999</v>
      </c>
      <c r="K18" t="s">
        <v>151</v>
      </c>
      <c r="L18">
        <v>12161</v>
      </c>
      <c r="M18">
        <v>867700</v>
      </c>
      <c r="N18">
        <f>L18/1000</f>
        <v>12.161</v>
      </c>
    </row>
    <row r="19" spans="1:14" x14ac:dyDescent="0.35">
      <c r="A19" t="s">
        <v>27</v>
      </c>
      <c r="B19">
        <v>13849</v>
      </c>
      <c r="C19">
        <v>525002</v>
      </c>
      <c r="D19">
        <f>B19/1000</f>
        <v>13.849</v>
      </c>
      <c r="F19" t="s">
        <v>95</v>
      </c>
      <c r="G19">
        <v>13430</v>
      </c>
      <c r="H19">
        <v>851656</v>
      </c>
      <c r="I19">
        <f>G19/1000</f>
        <v>13.43</v>
      </c>
      <c r="K19" t="s">
        <v>110</v>
      </c>
      <c r="L19">
        <v>13085</v>
      </c>
      <c r="M19">
        <v>32061</v>
      </c>
      <c r="N19">
        <f>L19/1000</f>
        <v>13.085000000000001</v>
      </c>
    </row>
    <row r="20" spans="1:14" x14ac:dyDescent="0.35">
      <c r="A20" t="s">
        <v>35</v>
      </c>
      <c r="B20">
        <v>14106</v>
      </c>
      <c r="C20">
        <v>771586</v>
      </c>
      <c r="D20">
        <f>B20/1000</f>
        <v>14.106</v>
      </c>
      <c r="F20" t="s">
        <v>87</v>
      </c>
      <c r="G20">
        <v>13880</v>
      </c>
      <c r="H20">
        <v>697377</v>
      </c>
      <c r="I20">
        <f>G20/1000</f>
        <v>13.88</v>
      </c>
      <c r="K20" t="s">
        <v>136</v>
      </c>
      <c r="L20">
        <v>13647</v>
      </c>
      <c r="M20">
        <v>500828</v>
      </c>
      <c r="N20">
        <f>L20/1000</f>
        <v>13.647</v>
      </c>
    </row>
    <row r="21" spans="1:14" x14ac:dyDescent="0.35">
      <c r="A21" t="s">
        <v>33</v>
      </c>
      <c r="B21">
        <v>14146</v>
      </c>
      <c r="C21">
        <v>704414</v>
      </c>
      <c r="D21">
        <f>B21/1000</f>
        <v>14.146000000000001</v>
      </c>
      <c r="F21" t="s">
        <v>97</v>
      </c>
      <c r="G21">
        <v>14135</v>
      </c>
      <c r="H21">
        <v>911188</v>
      </c>
      <c r="I21">
        <f>G21/1000</f>
        <v>14.135</v>
      </c>
      <c r="K21" t="s">
        <v>142</v>
      </c>
      <c r="L21">
        <v>14089</v>
      </c>
      <c r="M21">
        <v>670709</v>
      </c>
      <c r="N21">
        <f>L21/1000</f>
        <v>14.089</v>
      </c>
    </row>
    <row r="22" spans="1:14" x14ac:dyDescent="0.35">
      <c r="A22" t="s">
        <v>40</v>
      </c>
      <c r="B22">
        <v>14481</v>
      </c>
      <c r="C22">
        <v>855266</v>
      </c>
      <c r="D22">
        <f>B22/1000</f>
        <v>14.481</v>
      </c>
      <c r="F22" t="s">
        <v>57</v>
      </c>
      <c r="G22">
        <v>14276</v>
      </c>
      <c r="H22">
        <v>62190</v>
      </c>
      <c r="I22">
        <f>G22/1000</f>
        <v>14.276</v>
      </c>
      <c r="K22" t="s">
        <v>121</v>
      </c>
      <c r="L22">
        <v>14283</v>
      </c>
      <c r="M22">
        <v>219194</v>
      </c>
      <c r="N22">
        <f>L22/1000</f>
        <v>14.282999999999999</v>
      </c>
    </row>
    <row r="23" spans="1:14" x14ac:dyDescent="0.35">
      <c r="A23" t="s">
        <v>42</v>
      </c>
      <c r="B23">
        <v>14502</v>
      </c>
      <c r="C23">
        <v>917273</v>
      </c>
      <c r="D23">
        <f>B23/1000</f>
        <v>14.502000000000001</v>
      </c>
      <c r="F23" t="s">
        <v>94</v>
      </c>
      <c r="G23">
        <v>14348</v>
      </c>
      <c r="H23">
        <v>838226</v>
      </c>
      <c r="I23">
        <f>G23/1000</f>
        <v>14.348000000000001</v>
      </c>
      <c r="K23" t="s">
        <v>149</v>
      </c>
      <c r="L23">
        <v>14305</v>
      </c>
      <c r="M23">
        <v>810890</v>
      </c>
      <c r="N23">
        <f>L23/1000</f>
        <v>14.305</v>
      </c>
    </row>
    <row r="24" spans="1:14" x14ac:dyDescent="0.35">
      <c r="A24" t="s">
        <v>12</v>
      </c>
      <c r="B24">
        <v>15045</v>
      </c>
      <c r="C24">
        <v>221693</v>
      </c>
      <c r="D24">
        <f>B24/1000</f>
        <v>15.045</v>
      </c>
      <c r="F24" t="s">
        <v>89</v>
      </c>
      <c r="G24">
        <v>14456</v>
      </c>
      <c r="H24">
        <v>766153</v>
      </c>
      <c r="I24">
        <f>G24/1000</f>
        <v>14.456</v>
      </c>
      <c r="K24" t="s">
        <v>112</v>
      </c>
      <c r="L24">
        <v>14562</v>
      </c>
      <c r="M24">
        <v>56343</v>
      </c>
      <c r="N24">
        <f>L24/1000</f>
        <v>14.561999999999999</v>
      </c>
    </row>
    <row r="25" spans="1:14" x14ac:dyDescent="0.35">
      <c r="A25" t="s">
        <v>3</v>
      </c>
      <c r="B25">
        <v>15595</v>
      </c>
      <c r="C25">
        <v>62483</v>
      </c>
      <c r="D25">
        <f>B25/1000</f>
        <v>15.595000000000001</v>
      </c>
      <c r="F25" t="s">
        <v>92</v>
      </c>
      <c r="G25">
        <v>15392</v>
      </c>
      <c r="H25">
        <v>821198</v>
      </c>
      <c r="I25">
        <f>G25/1000</f>
        <v>15.391999999999999</v>
      </c>
      <c r="K25" t="s">
        <v>144</v>
      </c>
      <c r="L25">
        <v>15444</v>
      </c>
      <c r="M25">
        <v>735866</v>
      </c>
      <c r="N25">
        <f>L25/1000</f>
        <v>15.444000000000001</v>
      </c>
    </row>
    <row r="26" spans="1:14" x14ac:dyDescent="0.35">
      <c r="A26" t="s">
        <v>25</v>
      </c>
      <c r="B26">
        <v>17148</v>
      </c>
      <c r="C26">
        <v>481956</v>
      </c>
      <c r="D26">
        <f>B26/1000</f>
        <v>17.148</v>
      </c>
      <c r="F26" t="s">
        <v>81</v>
      </c>
      <c r="G26">
        <v>15403</v>
      </c>
      <c r="H26">
        <v>523026</v>
      </c>
      <c r="I26">
        <f>G26/1000</f>
        <v>15.403</v>
      </c>
      <c r="K26" t="s">
        <v>131</v>
      </c>
      <c r="L26">
        <v>17295</v>
      </c>
      <c r="M26">
        <v>386881</v>
      </c>
      <c r="N26">
        <f>L26/1000</f>
        <v>17.295000000000002</v>
      </c>
    </row>
    <row r="27" spans="1:14" x14ac:dyDescent="0.35">
      <c r="A27" t="s">
        <v>22</v>
      </c>
      <c r="B27">
        <v>17199</v>
      </c>
      <c r="C27">
        <v>410856</v>
      </c>
      <c r="D27">
        <f>B27/1000</f>
        <v>17.199000000000002</v>
      </c>
      <c r="F27" t="s">
        <v>66</v>
      </c>
      <c r="G27">
        <v>15883</v>
      </c>
      <c r="H27">
        <v>227075</v>
      </c>
      <c r="I27">
        <f>G27/1000</f>
        <v>15.882999999999999</v>
      </c>
      <c r="K27" t="s">
        <v>147</v>
      </c>
      <c r="L27">
        <v>17309</v>
      </c>
      <c r="M27">
        <v>794157</v>
      </c>
      <c r="N27">
        <f>L27/1000</f>
        <v>17.309000000000001</v>
      </c>
    </row>
    <row r="28" spans="1:14" x14ac:dyDescent="0.35">
      <c r="A28" t="s">
        <v>38</v>
      </c>
      <c r="B28">
        <v>17907</v>
      </c>
      <c r="C28">
        <v>837296</v>
      </c>
      <c r="D28">
        <f>B28/1000</f>
        <v>17.907</v>
      </c>
      <c r="F28" t="s">
        <v>67</v>
      </c>
      <c r="G28">
        <v>16773</v>
      </c>
      <c r="H28">
        <v>243848</v>
      </c>
      <c r="I28">
        <f>G28/1000</f>
        <v>16.773</v>
      </c>
      <c r="K28" t="s">
        <v>109</v>
      </c>
      <c r="L28">
        <v>18976</v>
      </c>
      <c r="M28">
        <v>18976</v>
      </c>
      <c r="N28">
        <f>L28/1000</f>
        <v>18.975999999999999</v>
      </c>
    </row>
    <row r="29" spans="1:14" x14ac:dyDescent="0.35">
      <c r="A29" t="s">
        <v>0</v>
      </c>
      <c r="B29">
        <v>22309</v>
      </c>
      <c r="C29">
        <v>22309</v>
      </c>
      <c r="D29">
        <f>B29/1000</f>
        <v>22.309000000000001</v>
      </c>
      <c r="F29" t="s">
        <v>76</v>
      </c>
      <c r="G29">
        <v>16803</v>
      </c>
      <c r="H29">
        <v>404347</v>
      </c>
      <c r="I29">
        <f>G29/1000</f>
        <v>16.803000000000001</v>
      </c>
      <c r="K29" t="s">
        <v>145</v>
      </c>
      <c r="L29">
        <v>20021</v>
      </c>
      <c r="M29">
        <v>755887</v>
      </c>
      <c r="N29">
        <f>L29/1000</f>
        <v>20.021000000000001</v>
      </c>
    </row>
    <row r="30" spans="1:14" x14ac:dyDescent="0.35">
      <c r="A30" t="s">
        <v>37</v>
      </c>
      <c r="B30">
        <v>22845</v>
      </c>
      <c r="C30">
        <v>819389</v>
      </c>
      <c r="D30">
        <f>B30/1000</f>
        <v>22.844999999999999</v>
      </c>
      <c r="F30" t="s">
        <v>79</v>
      </c>
      <c r="G30">
        <v>18513</v>
      </c>
      <c r="H30">
        <v>475511</v>
      </c>
      <c r="I30">
        <f>G30/1000</f>
        <v>18.513000000000002</v>
      </c>
      <c r="K30" t="s">
        <v>122</v>
      </c>
      <c r="L30">
        <v>20110</v>
      </c>
      <c r="M30">
        <v>239304</v>
      </c>
      <c r="N30">
        <f>L30/1000</f>
        <v>20.11</v>
      </c>
    </row>
    <row r="31" spans="1:14" x14ac:dyDescent="0.35">
      <c r="A31" t="s">
        <v>23</v>
      </c>
      <c r="B31">
        <v>23156</v>
      </c>
      <c r="C31">
        <v>434012</v>
      </c>
      <c r="D31">
        <f>B31/1000</f>
        <v>23.155999999999999</v>
      </c>
      <c r="F31" t="s">
        <v>90</v>
      </c>
      <c r="G31">
        <v>19767</v>
      </c>
      <c r="H31">
        <v>785920</v>
      </c>
      <c r="I31">
        <f>G31/1000</f>
        <v>19.766999999999999</v>
      </c>
      <c r="K31" t="s">
        <v>134</v>
      </c>
      <c r="L31">
        <v>20277</v>
      </c>
      <c r="M31">
        <v>461642</v>
      </c>
      <c r="N31">
        <f>L31/1000</f>
        <v>20.277000000000001</v>
      </c>
    </row>
    <row r="32" spans="1:14" x14ac:dyDescent="0.35">
      <c r="A32" t="s">
        <v>13</v>
      </c>
      <c r="B32">
        <v>24321</v>
      </c>
      <c r="C32">
        <v>246014</v>
      </c>
      <c r="D32">
        <f>B32/1000</f>
        <v>24.321000000000002</v>
      </c>
      <c r="F32" t="s">
        <v>91</v>
      </c>
      <c r="G32">
        <v>19886</v>
      </c>
      <c r="H32">
        <v>805806</v>
      </c>
      <c r="I32">
        <f>G32/1000</f>
        <v>19.885999999999999</v>
      </c>
      <c r="K32" t="s">
        <v>146</v>
      </c>
      <c r="L32">
        <v>20961</v>
      </c>
      <c r="M32">
        <v>776848</v>
      </c>
      <c r="N32">
        <f>L32/1000</f>
        <v>20.960999999999999</v>
      </c>
    </row>
    <row r="33" spans="1:14" x14ac:dyDescent="0.35">
      <c r="A33" t="s">
        <v>36</v>
      </c>
      <c r="B33">
        <v>24958</v>
      </c>
      <c r="C33">
        <v>796544</v>
      </c>
      <c r="D33">
        <f>B33/1000</f>
        <v>24.957999999999998</v>
      </c>
      <c r="F33" t="s">
        <v>54</v>
      </c>
      <c r="G33">
        <v>24114</v>
      </c>
      <c r="H33">
        <v>24114</v>
      </c>
      <c r="I33">
        <f>G33/1000</f>
        <v>24.114000000000001</v>
      </c>
      <c r="K33" t="s">
        <v>132</v>
      </c>
      <c r="L33">
        <v>23391</v>
      </c>
      <c r="M33">
        <v>410272</v>
      </c>
      <c r="N33">
        <f>L33/1000</f>
        <v>23.390999999999998</v>
      </c>
    </row>
    <row r="34" spans="1:14" x14ac:dyDescent="0.35">
      <c r="A34" t="s">
        <v>50</v>
      </c>
      <c r="B34">
        <v>26169</v>
      </c>
      <c r="C34">
        <v>1167201</v>
      </c>
      <c r="D34">
        <f>B34/1000</f>
        <v>26.169</v>
      </c>
      <c r="F34" t="s">
        <v>77</v>
      </c>
      <c r="G34">
        <v>24519</v>
      </c>
      <c r="H34">
        <v>428866</v>
      </c>
      <c r="I34">
        <f>G34/1000</f>
        <v>24.518999999999998</v>
      </c>
      <c r="K34" t="s">
        <v>159</v>
      </c>
      <c r="L34">
        <v>24920</v>
      </c>
      <c r="M34">
        <v>1114862</v>
      </c>
      <c r="N34">
        <f>L34/1000</f>
        <v>24.92</v>
      </c>
    </row>
    <row r="35" spans="1:14" x14ac:dyDescent="0.35">
      <c r="A35" t="s">
        <v>51</v>
      </c>
      <c r="B35">
        <v>27722</v>
      </c>
      <c r="C35">
        <v>1194923</v>
      </c>
      <c r="D35">
        <f>B35/1000</f>
        <v>27.722000000000001</v>
      </c>
      <c r="F35" t="s">
        <v>106</v>
      </c>
      <c r="G35">
        <v>26008</v>
      </c>
      <c r="H35">
        <v>1180698</v>
      </c>
      <c r="I35">
        <f>G35/1000</f>
        <v>26.007999999999999</v>
      </c>
      <c r="K35" t="s">
        <v>160</v>
      </c>
      <c r="L35">
        <v>25387</v>
      </c>
      <c r="M35">
        <v>1140249</v>
      </c>
      <c r="N35">
        <f>L35/1000</f>
        <v>25.387</v>
      </c>
    </row>
    <row r="36" spans="1:14" x14ac:dyDescent="0.35">
      <c r="A36" t="s">
        <v>26</v>
      </c>
      <c r="B36">
        <v>29197</v>
      </c>
      <c r="C36">
        <v>511153</v>
      </c>
      <c r="D36">
        <f>B36/1000</f>
        <v>29.196999999999999</v>
      </c>
      <c r="F36" t="s">
        <v>78</v>
      </c>
      <c r="G36">
        <v>28132</v>
      </c>
      <c r="H36">
        <v>456998</v>
      </c>
      <c r="I36">
        <f>G36/1000</f>
        <v>28.132000000000001</v>
      </c>
      <c r="K36" t="s">
        <v>135</v>
      </c>
      <c r="L36">
        <v>25539</v>
      </c>
      <c r="M36">
        <v>487181</v>
      </c>
      <c r="N36">
        <f>L36/1000</f>
        <v>25.539000000000001</v>
      </c>
    </row>
    <row r="37" spans="1:14" x14ac:dyDescent="0.35">
      <c r="A37" t="s">
        <v>47</v>
      </c>
      <c r="B37">
        <v>29330</v>
      </c>
      <c r="C37">
        <v>1037578</v>
      </c>
      <c r="D37">
        <f>B37/1000</f>
        <v>29.33</v>
      </c>
      <c r="F37" t="s">
        <v>105</v>
      </c>
      <c r="G37">
        <v>28742</v>
      </c>
      <c r="H37">
        <v>1154690</v>
      </c>
      <c r="I37">
        <f>G37/1000</f>
        <v>28.742000000000001</v>
      </c>
      <c r="K37" t="s">
        <v>125</v>
      </c>
      <c r="L37">
        <v>28047</v>
      </c>
      <c r="M37">
        <v>310022</v>
      </c>
      <c r="N37">
        <f>L37/1000</f>
        <v>28.047000000000001</v>
      </c>
    </row>
    <row r="38" spans="1:14" x14ac:dyDescent="0.35">
      <c r="A38" t="s">
        <v>44</v>
      </c>
      <c r="B38">
        <v>30162</v>
      </c>
      <c r="C38">
        <v>992118</v>
      </c>
      <c r="D38">
        <f>B38/1000</f>
        <v>30.161999999999999</v>
      </c>
      <c r="F38" t="s">
        <v>99</v>
      </c>
      <c r="G38">
        <v>28998</v>
      </c>
      <c r="H38">
        <v>981037</v>
      </c>
      <c r="I38">
        <f>G38/1000</f>
        <v>28.998000000000001</v>
      </c>
      <c r="K38" t="s">
        <v>126</v>
      </c>
      <c r="L38">
        <v>29453</v>
      </c>
      <c r="M38">
        <v>339475</v>
      </c>
      <c r="N38">
        <f>L38/1000</f>
        <v>29.452999999999999</v>
      </c>
    </row>
    <row r="39" spans="1:14" x14ac:dyDescent="0.35">
      <c r="A39" t="s">
        <v>17</v>
      </c>
      <c r="B39">
        <v>30377</v>
      </c>
      <c r="C39">
        <v>361255</v>
      </c>
      <c r="D39">
        <f>B39/1000</f>
        <v>30.376999999999999</v>
      </c>
      <c r="F39" t="s">
        <v>71</v>
      </c>
      <c r="G39">
        <v>30295</v>
      </c>
      <c r="H39">
        <v>355353</v>
      </c>
      <c r="I39">
        <f>G39/1000</f>
        <v>30.295000000000002</v>
      </c>
      <c r="K39" t="s">
        <v>156</v>
      </c>
      <c r="L39">
        <v>29820</v>
      </c>
      <c r="M39">
        <v>986449</v>
      </c>
      <c r="N39">
        <f>L39/1000</f>
        <v>29.82</v>
      </c>
    </row>
    <row r="40" spans="1:14" x14ac:dyDescent="0.35">
      <c r="A40" t="s">
        <v>24</v>
      </c>
      <c r="B40">
        <v>30796</v>
      </c>
      <c r="C40">
        <v>464808</v>
      </c>
      <c r="D40">
        <f>B40/1000</f>
        <v>30.795999999999999</v>
      </c>
      <c r="F40" t="s">
        <v>80</v>
      </c>
      <c r="G40">
        <v>32112</v>
      </c>
      <c r="H40">
        <v>507623</v>
      </c>
      <c r="I40">
        <f>G40/1000</f>
        <v>32.112000000000002</v>
      </c>
      <c r="K40" t="s">
        <v>153</v>
      </c>
      <c r="L40">
        <v>30189</v>
      </c>
      <c r="M40">
        <v>939425</v>
      </c>
      <c r="N40">
        <f>L40/1000</f>
        <v>30.189</v>
      </c>
    </row>
    <row r="41" spans="1:14" x14ac:dyDescent="0.35">
      <c r="A41" t="s">
        <v>10</v>
      </c>
      <c r="B41">
        <v>30815</v>
      </c>
      <c r="C41">
        <v>201735</v>
      </c>
      <c r="D41">
        <f>B41/1000</f>
        <v>30.815000000000001</v>
      </c>
      <c r="F41" t="s">
        <v>64</v>
      </c>
      <c r="G41">
        <v>32434</v>
      </c>
      <c r="H41">
        <v>206589</v>
      </c>
      <c r="I41">
        <f>G41/1000</f>
        <v>32.433999999999997</v>
      </c>
      <c r="K41" t="s">
        <v>133</v>
      </c>
      <c r="L41">
        <v>31093</v>
      </c>
      <c r="M41">
        <v>441365</v>
      </c>
      <c r="N41">
        <f>L41/1000</f>
        <v>31.093</v>
      </c>
    </row>
    <row r="42" spans="1:14" x14ac:dyDescent="0.35">
      <c r="A42" t="s">
        <v>48</v>
      </c>
      <c r="B42">
        <v>33505</v>
      </c>
      <c r="C42">
        <v>1071083</v>
      </c>
      <c r="D42">
        <f>B42/1000</f>
        <v>33.505000000000003</v>
      </c>
      <c r="F42" t="s">
        <v>103</v>
      </c>
      <c r="G42">
        <v>32616</v>
      </c>
      <c r="H42">
        <v>1064338</v>
      </c>
      <c r="I42">
        <f>G42/1000</f>
        <v>32.616</v>
      </c>
      <c r="K42" t="s">
        <v>157</v>
      </c>
      <c r="L42">
        <v>31843</v>
      </c>
      <c r="M42">
        <v>1018292</v>
      </c>
      <c r="N42">
        <f>L42/1000</f>
        <v>31.843</v>
      </c>
    </row>
    <row r="43" spans="1:14" x14ac:dyDescent="0.35">
      <c r="A43" t="s">
        <v>6</v>
      </c>
      <c r="B43">
        <v>35553</v>
      </c>
      <c r="C43">
        <v>114353</v>
      </c>
      <c r="D43">
        <f>B43/1000</f>
        <v>35.552999999999997</v>
      </c>
      <c r="F43" t="s">
        <v>102</v>
      </c>
      <c r="G43">
        <v>33582</v>
      </c>
      <c r="H43">
        <v>1031722</v>
      </c>
      <c r="I43">
        <f>G43/1000</f>
        <v>33.582000000000001</v>
      </c>
      <c r="K43" t="s">
        <v>119</v>
      </c>
      <c r="L43">
        <v>32997</v>
      </c>
      <c r="M43">
        <v>200104</v>
      </c>
      <c r="N43">
        <f>L43/1000</f>
        <v>32.997</v>
      </c>
    </row>
    <row r="44" spans="1:14" x14ac:dyDescent="0.35">
      <c r="A44" t="s">
        <v>16</v>
      </c>
      <c r="B44">
        <v>35969</v>
      </c>
      <c r="C44">
        <v>330878</v>
      </c>
      <c r="D44">
        <f>B44/1000</f>
        <v>35.969000000000001</v>
      </c>
      <c r="F44" t="s">
        <v>68</v>
      </c>
      <c r="G44">
        <v>36170</v>
      </c>
      <c r="H44">
        <v>280018</v>
      </c>
      <c r="I44">
        <f>G44/1000</f>
        <v>36.17</v>
      </c>
      <c r="K44" t="s">
        <v>115</v>
      </c>
      <c r="L44">
        <v>35078</v>
      </c>
      <c r="M44">
        <v>107476</v>
      </c>
      <c r="N44">
        <f>L44/1000</f>
        <v>35.078000000000003</v>
      </c>
    </row>
    <row r="45" spans="1:14" x14ac:dyDescent="0.35">
      <c r="A45" t="s">
        <v>29</v>
      </c>
      <c r="B45">
        <v>40240</v>
      </c>
      <c r="C45">
        <v>573623</v>
      </c>
      <c r="D45">
        <f>B45/1000</f>
        <v>40.24</v>
      </c>
      <c r="F45" t="s">
        <v>70</v>
      </c>
      <c r="G45">
        <v>36600</v>
      </c>
      <c r="H45">
        <v>325058</v>
      </c>
      <c r="I45">
        <f>G45/1000</f>
        <v>36.6</v>
      </c>
      <c r="K45" t="s">
        <v>123</v>
      </c>
      <c r="L45">
        <v>35400</v>
      </c>
      <c r="M45">
        <v>274704</v>
      </c>
      <c r="N45">
        <f>L45/1000</f>
        <v>35.4</v>
      </c>
    </row>
    <row r="46" spans="1:14" x14ac:dyDescent="0.35">
      <c r="A46" t="s">
        <v>14</v>
      </c>
      <c r="B46">
        <v>41047</v>
      </c>
      <c r="C46">
        <v>287061</v>
      </c>
      <c r="D46">
        <f>B46/1000</f>
        <v>41.046999999999997</v>
      </c>
      <c r="F46" t="s">
        <v>60</v>
      </c>
      <c r="G46">
        <v>38904</v>
      </c>
      <c r="H46">
        <v>119126</v>
      </c>
      <c r="I46">
        <f>G46/1000</f>
        <v>38.904000000000003</v>
      </c>
      <c r="K46" t="s">
        <v>138</v>
      </c>
      <c r="L46">
        <v>41058</v>
      </c>
      <c r="M46">
        <v>548056</v>
      </c>
      <c r="N46">
        <f>L46/1000</f>
        <v>41.058</v>
      </c>
    </row>
    <row r="47" spans="1:14" x14ac:dyDescent="0.35">
      <c r="A47" t="s">
        <v>8</v>
      </c>
      <c r="B47">
        <v>44115</v>
      </c>
      <c r="C47">
        <v>167343</v>
      </c>
      <c r="D47">
        <f>B47/1000</f>
        <v>44.115000000000002</v>
      </c>
      <c r="F47" t="s">
        <v>98</v>
      </c>
      <c r="G47">
        <v>40851</v>
      </c>
      <c r="H47">
        <v>952039</v>
      </c>
      <c r="I47">
        <f>G47/1000</f>
        <v>40.850999999999999</v>
      </c>
      <c r="K47" t="s">
        <v>152</v>
      </c>
      <c r="L47">
        <v>41536</v>
      </c>
      <c r="M47">
        <v>909236</v>
      </c>
      <c r="N47">
        <f>L47/1000</f>
        <v>41.536000000000001</v>
      </c>
    </row>
    <row r="48" spans="1:14" x14ac:dyDescent="0.35">
      <c r="A48" t="s">
        <v>43</v>
      </c>
      <c r="B48">
        <v>44683</v>
      </c>
      <c r="C48">
        <v>961956</v>
      </c>
      <c r="D48">
        <f>B48/1000</f>
        <v>44.683</v>
      </c>
      <c r="F48" t="s">
        <v>83</v>
      </c>
      <c r="G48">
        <v>43082</v>
      </c>
      <c r="H48">
        <v>571497</v>
      </c>
      <c r="I48">
        <f>G48/1000</f>
        <v>43.082000000000001</v>
      </c>
      <c r="K48" t="s">
        <v>150</v>
      </c>
      <c r="L48">
        <v>44649</v>
      </c>
      <c r="M48">
        <v>855539</v>
      </c>
      <c r="N48">
        <f>L48/1000</f>
        <v>44.649000000000001</v>
      </c>
    </row>
    <row r="49" spans="1:14" x14ac:dyDescent="0.35">
      <c r="A49" t="s">
        <v>41</v>
      </c>
      <c r="B49">
        <v>47505</v>
      </c>
      <c r="C49">
        <v>902771</v>
      </c>
      <c r="D49">
        <f>B49/1000</f>
        <v>47.505000000000003</v>
      </c>
      <c r="F49" t="s">
        <v>96</v>
      </c>
      <c r="G49">
        <v>45397</v>
      </c>
      <c r="H49">
        <v>897053</v>
      </c>
      <c r="I49">
        <f>G49/1000</f>
        <v>45.396999999999998</v>
      </c>
      <c r="K49" t="s">
        <v>117</v>
      </c>
      <c r="L49">
        <v>46474</v>
      </c>
      <c r="M49">
        <v>162471</v>
      </c>
      <c r="N49">
        <f>L49/1000</f>
        <v>46.473999999999997</v>
      </c>
    </row>
    <row r="50" spans="1:14" x14ac:dyDescent="0.35">
      <c r="A50" t="s">
        <v>34</v>
      </c>
      <c r="B50">
        <v>53066</v>
      </c>
      <c r="C50">
        <v>757480</v>
      </c>
      <c r="D50">
        <f>B50/1000</f>
        <v>53.066000000000003</v>
      </c>
      <c r="F50" t="s">
        <v>62</v>
      </c>
      <c r="G50">
        <v>46561</v>
      </c>
      <c r="H50">
        <v>172311</v>
      </c>
      <c r="I50">
        <f>G50/1000</f>
        <v>46.561</v>
      </c>
      <c r="K50" t="s">
        <v>143</v>
      </c>
      <c r="L50">
        <v>49713</v>
      </c>
      <c r="M50">
        <v>720422</v>
      </c>
      <c r="N50">
        <f>L50/1000</f>
        <v>49.713000000000001</v>
      </c>
    </row>
    <row r="51" spans="1:14" x14ac:dyDescent="0.35">
      <c r="A51" t="s">
        <v>31</v>
      </c>
      <c r="B51">
        <v>54050</v>
      </c>
      <c r="C51">
        <v>683132</v>
      </c>
      <c r="D51">
        <f>B51/1000</f>
        <v>54.05</v>
      </c>
      <c r="F51" t="s">
        <v>85</v>
      </c>
      <c r="G51">
        <v>50433</v>
      </c>
      <c r="H51">
        <v>674558</v>
      </c>
      <c r="I51">
        <f>G51/1000</f>
        <v>50.433</v>
      </c>
      <c r="K51" t="s">
        <v>139</v>
      </c>
      <c r="L51">
        <v>50608</v>
      </c>
      <c r="M51">
        <v>598664</v>
      </c>
      <c r="N51">
        <f>L51/1000</f>
        <v>50.607999999999997</v>
      </c>
    </row>
    <row r="52" spans="1:14" x14ac:dyDescent="0.35">
      <c r="A52" t="s">
        <v>53</v>
      </c>
      <c r="B52">
        <v>55082</v>
      </c>
      <c r="C52">
        <v>1355423</v>
      </c>
      <c r="D52">
        <f>B52/1000</f>
        <v>55.082000000000001</v>
      </c>
      <c r="F52" t="s">
        <v>84</v>
      </c>
      <c r="G52">
        <v>52628</v>
      </c>
      <c r="H52">
        <v>624125</v>
      </c>
      <c r="I52">
        <f>G52/1000</f>
        <v>52.628</v>
      </c>
      <c r="K52" t="s">
        <v>140</v>
      </c>
      <c r="L52">
        <v>51164</v>
      </c>
      <c r="M52">
        <v>649828</v>
      </c>
      <c r="N52">
        <f>L52/1000</f>
        <v>51.164000000000001</v>
      </c>
    </row>
    <row r="53" spans="1:14" x14ac:dyDescent="0.35">
      <c r="A53" t="s">
        <v>30</v>
      </c>
      <c r="B53">
        <v>55459</v>
      </c>
      <c r="C53">
        <v>629082</v>
      </c>
      <c r="D53">
        <f>B53/1000</f>
        <v>55.459000000000003</v>
      </c>
      <c r="F53" t="s">
        <v>88</v>
      </c>
      <c r="G53">
        <v>54320</v>
      </c>
      <c r="H53">
        <v>751697</v>
      </c>
      <c r="I53">
        <f>G53/1000</f>
        <v>54.32</v>
      </c>
      <c r="K53" t="s">
        <v>162</v>
      </c>
      <c r="L53">
        <v>51412</v>
      </c>
      <c r="M53">
        <v>1292407</v>
      </c>
      <c r="N53">
        <f>L53/1000</f>
        <v>51.411999999999999</v>
      </c>
    </row>
    <row r="54" spans="1:14" x14ac:dyDescent="0.35">
      <c r="A54" t="s">
        <v>49</v>
      </c>
      <c r="B54">
        <v>69949</v>
      </c>
      <c r="C54">
        <v>1141032</v>
      </c>
      <c r="D54">
        <f>B54/1000</f>
        <v>69.948999999999998</v>
      </c>
      <c r="F54" t="s">
        <v>108</v>
      </c>
      <c r="G54">
        <v>58887</v>
      </c>
      <c r="H54">
        <v>1353648</v>
      </c>
      <c r="I54">
        <f>G54/1000</f>
        <v>58.887</v>
      </c>
      <c r="K54" t="s">
        <v>158</v>
      </c>
      <c r="L54">
        <v>71650</v>
      </c>
      <c r="M54">
        <v>1089942</v>
      </c>
      <c r="N54">
        <f>L54/1000</f>
        <v>71.650000000000006</v>
      </c>
    </row>
    <row r="55" spans="1:14" x14ac:dyDescent="0.35">
      <c r="A55" t="s">
        <v>52</v>
      </c>
      <c r="B55">
        <v>105418</v>
      </c>
      <c r="C55">
        <v>1300341</v>
      </c>
      <c r="D55">
        <f>B55/1000</f>
        <v>105.41800000000001</v>
      </c>
      <c r="F55" t="s">
        <v>104</v>
      </c>
      <c r="G55">
        <v>61610</v>
      </c>
      <c r="H55">
        <v>1125948</v>
      </c>
      <c r="I55">
        <f>G55/1000</f>
        <v>61.61</v>
      </c>
      <c r="K55" t="s">
        <v>161</v>
      </c>
      <c r="L55">
        <v>100746</v>
      </c>
      <c r="M55">
        <v>1240995</v>
      </c>
      <c r="N55">
        <f>L55/1000</f>
        <v>100.746</v>
      </c>
    </row>
    <row r="56" spans="1:14" x14ac:dyDescent="0.35">
      <c r="F56" t="s">
        <v>107</v>
      </c>
      <c r="G56">
        <v>114063</v>
      </c>
      <c r="H56">
        <v>1294761</v>
      </c>
      <c r="I56">
        <f>G56/1000</f>
        <v>114.063</v>
      </c>
    </row>
  </sheetData>
  <sortState xmlns:xlrd2="http://schemas.microsoft.com/office/spreadsheetml/2017/richdata2" ref="A2:D55">
    <sortCondition ref="B2:B55"/>
  </sortState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7BBEA-7364-4FA0-86AE-F18C79857792}">
  <dimension ref="A1:N38"/>
  <sheetViews>
    <sheetView workbookViewId="0">
      <selection activeCell="H2" sqref="H2"/>
    </sheetView>
  </sheetViews>
  <sheetFormatPr defaultRowHeight="14.5" x14ac:dyDescent="0.35"/>
  <cols>
    <col min="1" max="1" width="19.90625" customWidth="1"/>
    <col min="3" max="3" width="1.36328125" customWidth="1"/>
    <col min="4" max="4" width="21" customWidth="1"/>
    <col min="6" max="6" width="2.36328125" customWidth="1"/>
    <col min="7" max="7" width="18.90625" customWidth="1"/>
    <col min="9" max="9" width="2.36328125" customWidth="1"/>
    <col min="10" max="10" width="17.26953125" customWidth="1"/>
    <col min="12" max="12" width="2.453125" customWidth="1"/>
    <col min="13" max="13" width="20.54296875" customWidth="1"/>
  </cols>
  <sheetData>
    <row r="1" spans="1:14" x14ac:dyDescent="0.35">
      <c r="A1" s="1" t="s">
        <v>166</v>
      </c>
      <c r="B1" s="1" t="s">
        <v>163</v>
      </c>
      <c r="C1" s="1"/>
      <c r="D1" s="1" t="s">
        <v>166</v>
      </c>
      <c r="E1" s="1" t="s">
        <v>163</v>
      </c>
      <c r="F1" s="1"/>
      <c r="G1" s="1" t="s">
        <v>166</v>
      </c>
      <c r="H1" s="1" t="s">
        <v>163</v>
      </c>
      <c r="I1" s="1"/>
      <c r="J1" s="1" t="s">
        <v>166</v>
      </c>
      <c r="K1" s="1" t="s">
        <v>163</v>
      </c>
      <c r="L1" s="1"/>
      <c r="M1" s="1" t="s">
        <v>166</v>
      </c>
      <c r="N1" s="1" t="s">
        <v>163</v>
      </c>
    </row>
    <row r="2" spans="1:14" x14ac:dyDescent="0.35">
      <c r="A2" t="s">
        <v>186</v>
      </c>
      <c r="B2">
        <v>1402</v>
      </c>
      <c r="D2" t="s">
        <v>221</v>
      </c>
      <c r="E2">
        <v>1072</v>
      </c>
      <c r="G2" t="s">
        <v>247</v>
      </c>
      <c r="H2">
        <v>520</v>
      </c>
      <c r="J2" t="s">
        <v>256</v>
      </c>
      <c r="K2">
        <v>1359</v>
      </c>
      <c r="M2" t="s">
        <v>310</v>
      </c>
      <c r="N2">
        <v>612</v>
      </c>
    </row>
    <row r="3" spans="1:14" x14ac:dyDescent="0.35">
      <c r="A3" t="s">
        <v>190</v>
      </c>
      <c r="B3">
        <v>1414</v>
      </c>
      <c r="D3" t="s">
        <v>225</v>
      </c>
      <c r="E3">
        <v>1105</v>
      </c>
      <c r="G3" t="s">
        <v>227</v>
      </c>
      <c r="H3">
        <v>1632</v>
      </c>
      <c r="J3" t="s">
        <v>263</v>
      </c>
      <c r="K3">
        <v>2021</v>
      </c>
      <c r="M3" t="s">
        <v>301</v>
      </c>
      <c r="N3">
        <v>720</v>
      </c>
    </row>
    <row r="4" spans="1:14" x14ac:dyDescent="0.35">
      <c r="A4" t="s">
        <v>184</v>
      </c>
      <c r="B4">
        <v>1520</v>
      </c>
      <c r="D4" t="s">
        <v>193</v>
      </c>
      <c r="E4">
        <v>2354</v>
      </c>
      <c r="G4" t="s">
        <v>245</v>
      </c>
      <c r="H4">
        <v>1699</v>
      </c>
      <c r="J4" t="s">
        <v>273</v>
      </c>
      <c r="K4">
        <v>4102</v>
      </c>
      <c r="M4" t="s">
        <v>305</v>
      </c>
      <c r="N4">
        <v>901</v>
      </c>
    </row>
    <row r="5" spans="1:14" x14ac:dyDescent="0.35">
      <c r="A5" t="s">
        <v>172</v>
      </c>
      <c r="B5">
        <v>1920</v>
      </c>
      <c r="D5" t="s">
        <v>226</v>
      </c>
      <c r="E5">
        <v>2911</v>
      </c>
      <c r="G5" t="s">
        <v>253</v>
      </c>
      <c r="H5">
        <v>1887</v>
      </c>
      <c r="J5" t="s">
        <v>261</v>
      </c>
      <c r="K5">
        <v>4309</v>
      </c>
      <c r="M5" t="s">
        <v>279</v>
      </c>
      <c r="N5">
        <v>996</v>
      </c>
    </row>
    <row r="6" spans="1:14" x14ac:dyDescent="0.35">
      <c r="A6" t="s">
        <v>176</v>
      </c>
      <c r="B6">
        <v>2023</v>
      </c>
      <c r="D6" t="s">
        <v>209</v>
      </c>
      <c r="E6">
        <v>4175</v>
      </c>
      <c r="G6" t="s">
        <v>250</v>
      </c>
      <c r="H6">
        <v>2170</v>
      </c>
      <c r="J6" t="s">
        <v>262</v>
      </c>
      <c r="K6">
        <v>4828</v>
      </c>
      <c r="M6" t="s">
        <v>303</v>
      </c>
      <c r="N6">
        <v>1241</v>
      </c>
    </row>
    <row r="7" spans="1:14" x14ac:dyDescent="0.35">
      <c r="A7" t="s">
        <v>188</v>
      </c>
      <c r="B7">
        <v>2641</v>
      </c>
      <c r="D7" t="s">
        <v>200</v>
      </c>
      <c r="E7">
        <v>4286</v>
      </c>
      <c r="G7" t="s">
        <v>240</v>
      </c>
      <c r="H7">
        <v>2416</v>
      </c>
      <c r="J7" t="s">
        <v>255</v>
      </c>
      <c r="K7">
        <v>4888</v>
      </c>
      <c r="M7" t="s">
        <v>277</v>
      </c>
      <c r="N7">
        <v>1728</v>
      </c>
    </row>
    <row r="8" spans="1:14" x14ac:dyDescent="0.35">
      <c r="A8" t="s">
        <v>178</v>
      </c>
      <c r="B8">
        <v>2710</v>
      </c>
      <c r="D8" t="s">
        <v>218</v>
      </c>
      <c r="E8">
        <v>5363</v>
      </c>
      <c r="G8" t="s">
        <v>251</v>
      </c>
      <c r="H8">
        <v>2772</v>
      </c>
      <c r="J8" t="s">
        <v>270</v>
      </c>
      <c r="K8">
        <v>7670</v>
      </c>
      <c r="M8" t="s">
        <v>299</v>
      </c>
      <c r="N8">
        <v>1908</v>
      </c>
    </row>
    <row r="9" spans="1:14" x14ac:dyDescent="0.35">
      <c r="A9" t="s">
        <v>174</v>
      </c>
      <c r="B9">
        <v>2974</v>
      </c>
      <c r="D9" t="s">
        <v>191</v>
      </c>
      <c r="E9">
        <v>5935</v>
      </c>
      <c r="G9" t="s">
        <v>238</v>
      </c>
      <c r="H9">
        <v>2948</v>
      </c>
      <c r="J9" t="s">
        <v>267</v>
      </c>
      <c r="K9">
        <v>7784</v>
      </c>
      <c r="M9" t="s">
        <v>288</v>
      </c>
      <c r="N9">
        <v>1979</v>
      </c>
    </row>
    <row r="10" spans="1:14" x14ac:dyDescent="0.35">
      <c r="A10" t="s">
        <v>183</v>
      </c>
      <c r="B10">
        <v>3237</v>
      </c>
      <c r="D10" t="s">
        <v>211</v>
      </c>
      <c r="E10">
        <v>6730</v>
      </c>
      <c r="G10" t="s">
        <v>235</v>
      </c>
      <c r="H10">
        <v>3138</v>
      </c>
      <c r="J10" t="s">
        <v>275</v>
      </c>
      <c r="K10">
        <v>10693</v>
      </c>
      <c r="M10" t="s">
        <v>281</v>
      </c>
      <c r="N10">
        <v>2032</v>
      </c>
    </row>
    <row r="11" spans="1:14" x14ac:dyDescent="0.35">
      <c r="A11" t="s">
        <v>169</v>
      </c>
      <c r="B11">
        <v>3663</v>
      </c>
      <c r="D11" t="s">
        <v>215</v>
      </c>
      <c r="E11">
        <v>9678</v>
      </c>
      <c r="G11" t="s">
        <v>229</v>
      </c>
      <c r="H11">
        <v>3160</v>
      </c>
      <c r="J11" t="s">
        <v>254</v>
      </c>
      <c r="K11">
        <v>12462</v>
      </c>
      <c r="M11" t="s">
        <v>294</v>
      </c>
      <c r="N11">
        <v>2219</v>
      </c>
    </row>
    <row r="12" spans="1:14" x14ac:dyDescent="0.35">
      <c r="A12" t="s">
        <v>173</v>
      </c>
      <c r="B12">
        <v>4414</v>
      </c>
      <c r="D12" t="s">
        <v>203</v>
      </c>
      <c r="E12">
        <v>14682</v>
      </c>
      <c r="G12" t="s">
        <v>228</v>
      </c>
      <c r="H12">
        <v>3301</v>
      </c>
      <c r="J12" t="s">
        <v>276</v>
      </c>
      <c r="K12">
        <v>16005</v>
      </c>
      <c r="M12" t="s">
        <v>295</v>
      </c>
      <c r="N12">
        <v>2373</v>
      </c>
    </row>
    <row r="13" spans="1:14" x14ac:dyDescent="0.35">
      <c r="A13" t="s">
        <v>168</v>
      </c>
      <c r="B13">
        <v>4433</v>
      </c>
      <c r="D13" t="s">
        <v>199</v>
      </c>
      <c r="E13">
        <v>14880</v>
      </c>
      <c r="G13" t="s">
        <v>234</v>
      </c>
      <c r="H13">
        <v>3311</v>
      </c>
      <c r="J13" t="s">
        <v>271</v>
      </c>
      <c r="K13">
        <v>16385</v>
      </c>
      <c r="M13" t="s">
        <v>278</v>
      </c>
      <c r="N13">
        <v>2374</v>
      </c>
    </row>
    <row r="14" spans="1:14" x14ac:dyDescent="0.35">
      <c r="A14" t="s">
        <v>177</v>
      </c>
      <c r="B14">
        <v>4526</v>
      </c>
      <c r="D14" t="s">
        <v>204</v>
      </c>
      <c r="E14">
        <v>15566</v>
      </c>
      <c r="G14" t="s">
        <v>231</v>
      </c>
      <c r="H14">
        <v>3386</v>
      </c>
      <c r="J14" t="s">
        <v>258</v>
      </c>
      <c r="K14">
        <v>19753</v>
      </c>
      <c r="M14" t="s">
        <v>304</v>
      </c>
      <c r="N14">
        <v>2501</v>
      </c>
    </row>
    <row r="15" spans="1:14" x14ac:dyDescent="0.35">
      <c r="A15" t="s">
        <v>182</v>
      </c>
      <c r="B15">
        <v>4853</v>
      </c>
      <c r="D15" t="s">
        <v>201</v>
      </c>
      <c r="E15">
        <v>16723</v>
      </c>
      <c r="G15" t="s">
        <v>249</v>
      </c>
      <c r="H15">
        <v>3547</v>
      </c>
      <c r="J15" t="s">
        <v>266</v>
      </c>
      <c r="K15">
        <v>25613</v>
      </c>
      <c r="M15" t="s">
        <v>292</v>
      </c>
      <c r="N15">
        <v>2523</v>
      </c>
    </row>
    <row r="16" spans="1:14" x14ac:dyDescent="0.35">
      <c r="A16" t="s">
        <v>175</v>
      </c>
      <c r="B16">
        <v>5349</v>
      </c>
      <c r="D16" t="s">
        <v>224</v>
      </c>
      <c r="E16">
        <v>16737</v>
      </c>
      <c r="G16" t="s">
        <v>242</v>
      </c>
      <c r="H16">
        <v>5809</v>
      </c>
      <c r="J16" t="s">
        <v>265</v>
      </c>
      <c r="K16">
        <v>26977</v>
      </c>
      <c r="M16" t="s">
        <v>284</v>
      </c>
      <c r="N16">
        <v>2524</v>
      </c>
    </row>
    <row r="17" spans="1:14" x14ac:dyDescent="0.35">
      <c r="A17" t="s">
        <v>189</v>
      </c>
      <c r="B17">
        <v>5698</v>
      </c>
      <c r="D17" t="s">
        <v>197</v>
      </c>
      <c r="E17">
        <v>20050</v>
      </c>
      <c r="G17" t="s">
        <v>230</v>
      </c>
      <c r="H17">
        <v>6473</v>
      </c>
      <c r="J17" t="s">
        <v>260</v>
      </c>
      <c r="K17">
        <v>30152</v>
      </c>
      <c r="M17" t="s">
        <v>307</v>
      </c>
      <c r="N17">
        <v>2565</v>
      </c>
    </row>
    <row r="18" spans="1:14" x14ac:dyDescent="0.35">
      <c r="A18" t="s">
        <v>185</v>
      </c>
      <c r="B18">
        <v>7723</v>
      </c>
      <c r="D18" t="s">
        <v>206</v>
      </c>
      <c r="E18">
        <v>20534</v>
      </c>
      <c r="G18" t="s">
        <v>239</v>
      </c>
      <c r="H18">
        <v>7037</v>
      </c>
      <c r="J18" t="s">
        <v>268</v>
      </c>
      <c r="K18">
        <v>33132</v>
      </c>
      <c r="M18" t="s">
        <v>290</v>
      </c>
      <c r="N18">
        <v>2578</v>
      </c>
    </row>
    <row r="19" spans="1:14" x14ac:dyDescent="0.35">
      <c r="A19" t="s">
        <v>171</v>
      </c>
      <c r="B19">
        <v>8816</v>
      </c>
      <c r="D19" t="s">
        <v>213</v>
      </c>
      <c r="E19">
        <v>27158</v>
      </c>
      <c r="G19" t="s">
        <v>248</v>
      </c>
      <c r="H19">
        <v>7329</v>
      </c>
      <c r="J19" t="s">
        <v>264</v>
      </c>
      <c r="K19">
        <v>38170</v>
      </c>
      <c r="M19" t="s">
        <v>298</v>
      </c>
      <c r="N19">
        <v>2579</v>
      </c>
    </row>
    <row r="20" spans="1:14" x14ac:dyDescent="0.35">
      <c r="A20" t="s">
        <v>180</v>
      </c>
      <c r="B20">
        <v>9340</v>
      </c>
      <c r="D20" t="s">
        <v>220</v>
      </c>
      <c r="E20">
        <v>28721</v>
      </c>
      <c r="G20" t="s">
        <v>241</v>
      </c>
      <c r="H20">
        <v>8049</v>
      </c>
      <c r="J20" t="s">
        <v>269</v>
      </c>
      <c r="K20">
        <v>38297</v>
      </c>
      <c r="M20" t="s">
        <v>311</v>
      </c>
      <c r="N20">
        <v>2642</v>
      </c>
    </row>
    <row r="21" spans="1:14" x14ac:dyDescent="0.35">
      <c r="A21" t="s">
        <v>170</v>
      </c>
      <c r="B21">
        <v>10413</v>
      </c>
      <c r="D21" t="s">
        <v>217</v>
      </c>
      <c r="E21">
        <v>33887</v>
      </c>
      <c r="G21" t="s">
        <v>243</v>
      </c>
      <c r="H21">
        <v>8909</v>
      </c>
      <c r="J21" t="s">
        <v>274</v>
      </c>
      <c r="K21">
        <v>45890</v>
      </c>
      <c r="M21" t="s">
        <v>308</v>
      </c>
      <c r="N21">
        <v>2692</v>
      </c>
    </row>
    <row r="22" spans="1:14" x14ac:dyDescent="0.35">
      <c r="A22" t="s">
        <v>167</v>
      </c>
      <c r="B22">
        <v>12740</v>
      </c>
      <c r="D22" t="s">
        <v>222</v>
      </c>
      <c r="E22">
        <v>34473</v>
      </c>
      <c r="G22" t="s">
        <v>232</v>
      </c>
      <c r="H22">
        <v>9573</v>
      </c>
      <c r="J22" t="s">
        <v>272</v>
      </c>
      <c r="K22">
        <v>50856</v>
      </c>
      <c r="M22" t="s">
        <v>285</v>
      </c>
      <c r="N22">
        <v>2773</v>
      </c>
    </row>
    <row r="23" spans="1:14" x14ac:dyDescent="0.35">
      <c r="A23" t="s">
        <v>179</v>
      </c>
      <c r="B23">
        <v>14311</v>
      </c>
      <c r="D23" t="s">
        <v>196</v>
      </c>
      <c r="E23">
        <v>37304</v>
      </c>
      <c r="G23" t="s">
        <v>252</v>
      </c>
      <c r="H23">
        <v>17127</v>
      </c>
      <c r="J23" t="s">
        <v>257</v>
      </c>
      <c r="K23">
        <v>55497</v>
      </c>
      <c r="M23" t="s">
        <v>293</v>
      </c>
      <c r="N23">
        <v>2944</v>
      </c>
    </row>
    <row r="24" spans="1:14" x14ac:dyDescent="0.35">
      <c r="A24" t="s">
        <v>187</v>
      </c>
      <c r="B24">
        <v>17771</v>
      </c>
      <c r="D24" t="s">
        <v>219</v>
      </c>
      <c r="E24">
        <v>37915</v>
      </c>
      <c r="G24" t="s">
        <v>246</v>
      </c>
      <c r="H24">
        <v>20816</v>
      </c>
      <c r="J24" t="s">
        <v>259</v>
      </c>
      <c r="K24">
        <v>70200</v>
      </c>
      <c r="M24" t="s">
        <v>291</v>
      </c>
      <c r="N24">
        <v>2996</v>
      </c>
    </row>
    <row r="25" spans="1:14" x14ac:dyDescent="0.35">
      <c r="A25" t="s">
        <v>181</v>
      </c>
      <c r="B25">
        <v>60672</v>
      </c>
      <c r="D25" t="s">
        <v>214</v>
      </c>
      <c r="E25">
        <v>42773</v>
      </c>
      <c r="G25" t="s">
        <v>236</v>
      </c>
      <c r="H25">
        <v>38140</v>
      </c>
      <c r="K25" s="1">
        <f>SUM(K1:K24)</f>
        <v>527043</v>
      </c>
      <c r="M25" t="s">
        <v>282</v>
      </c>
      <c r="N25">
        <v>3110</v>
      </c>
    </row>
    <row r="26" spans="1:14" x14ac:dyDescent="0.35">
      <c r="B26" s="1">
        <f>SUM(B2:B25)</f>
        <v>194563</v>
      </c>
      <c r="D26" t="s">
        <v>207</v>
      </c>
      <c r="E26">
        <v>50402</v>
      </c>
      <c r="G26" t="s">
        <v>244</v>
      </c>
      <c r="H26">
        <v>51338</v>
      </c>
      <c r="M26" t="s">
        <v>289</v>
      </c>
      <c r="N26">
        <v>3118</v>
      </c>
    </row>
    <row r="27" spans="1:14" x14ac:dyDescent="0.35">
      <c r="D27" t="s">
        <v>223</v>
      </c>
      <c r="E27">
        <v>52824</v>
      </c>
      <c r="G27" t="s">
        <v>233</v>
      </c>
      <c r="H27">
        <v>53634</v>
      </c>
      <c r="M27" t="s">
        <v>300</v>
      </c>
      <c r="N27">
        <v>3222</v>
      </c>
    </row>
    <row r="28" spans="1:14" x14ac:dyDescent="0.35">
      <c r="D28" t="s">
        <v>198</v>
      </c>
      <c r="E28">
        <v>55853</v>
      </c>
      <c r="G28" t="s">
        <v>237</v>
      </c>
      <c r="H28">
        <v>59360</v>
      </c>
      <c r="M28" t="s">
        <v>280</v>
      </c>
      <c r="N28">
        <v>3458</v>
      </c>
    </row>
    <row r="29" spans="1:14" x14ac:dyDescent="0.35">
      <c r="D29" t="s">
        <v>208</v>
      </c>
      <c r="E29">
        <v>56773</v>
      </c>
      <c r="H29" s="1">
        <f>SUM(H2:H28)</f>
        <v>329481</v>
      </c>
      <c r="M29" t="s">
        <v>286</v>
      </c>
      <c r="N29">
        <v>3480</v>
      </c>
    </row>
    <row r="30" spans="1:14" x14ac:dyDescent="0.35">
      <c r="D30" t="s">
        <v>212</v>
      </c>
      <c r="E30">
        <v>57680</v>
      </c>
      <c r="M30" t="s">
        <v>296</v>
      </c>
      <c r="N30">
        <v>3727</v>
      </c>
    </row>
    <row r="31" spans="1:14" x14ac:dyDescent="0.35">
      <c r="D31" t="s">
        <v>194</v>
      </c>
      <c r="E31">
        <v>58529</v>
      </c>
      <c r="M31" t="s">
        <v>297</v>
      </c>
      <c r="N31">
        <v>4001</v>
      </c>
    </row>
    <row r="32" spans="1:14" x14ac:dyDescent="0.35">
      <c r="D32" t="s">
        <v>195</v>
      </c>
      <c r="E32">
        <v>60876</v>
      </c>
      <c r="M32" t="s">
        <v>283</v>
      </c>
      <c r="N32">
        <v>4475</v>
      </c>
    </row>
    <row r="33" spans="4:14" x14ac:dyDescent="0.35">
      <c r="D33" t="s">
        <v>205</v>
      </c>
      <c r="E33">
        <v>67351</v>
      </c>
      <c r="M33" t="s">
        <v>302</v>
      </c>
      <c r="N33">
        <v>4566</v>
      </c>
    </row>
    <row r="34" spans="4:14" x14ac:dyDescent="0.35">
      <c r="D34" t="s">
        <v>202</v>
      </c>
      <c r="E34">
        <v>70577</v>
      </c>
      <c r="M34" t="s">
        <v>287</v>
      </c>
      <c r="N34">
        <v>5657</v>
      </c>
    </row>
    <row r="35" spans="4:14" x14ac:dyDescent="0.35">
      <c r="D35" t="s">
        <v>210</v>
      </c>
      <c r="E35">
        <v>75284</v>
      </c>
      <c r="M35" t="s">
        <v>312</v>
      </c>
      <c r="N35">
        <v>12365</v>
      </c>
    </row>
    <row r="36" spans="4:14" x14ac:dyDescent="0.35">
      <c r="D36" t="s">
        <v>216</v>
      </c>
      <c r="E36">
        <v>99703</v>
      </c>
      <c r="M36" t="s">
        <v>306</v>
      </c>
      <c r="N36">
        <v>35091</v>
      </c>
    </row>
    <row r="37" spans="4:14" x14ac:dyDescent="0.35">
      <c r="D37" t="s">
        <v>192</v>
      </c>
      <c r="E37">
        <v>111750</v>
      </c>
      <c r="M37" t="s">
        <v>309</v>
      </c>
      <c r="N37">
        <v>100755</v>
      </c>
    </row>
    <row r="38" spans="4:14" x14ac:dyDescent="0.35">
      <c r="E38" s="1">
        <f>SUM(E2:E37)</f>
        <v>1222614</v>
      </c>
      <c r="N38" s="1">
        <f>SUM(N2:N37)</f>
        <v>235425</v>
      </c>
    </row>
  </sheetData>
  <sortState xmlns:xlrd2="http://schemas.microsoft.com/office/spreadsheetml/2017/richdata2" ref="A2:B25">
    <sortCondition ref="B4:B25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43A23-6179-454B-A07B-10FD87E3C545}">
  <dimension ref="A1:C56"/>
  <sheetViews>
    <sheetView workbookViewId="0">
      <selection activeCell="A57" sqref="A57"/>
    </sheetView>
  </sheetViews>
  <sheetFormatPr defaultRowHeight="14.5" x14ac:dyDescent="0.35"/>
  <cols>
    <col min="1" max="1" width="24.36328125" customWidth="1"/>
    <col min="2" max="2" width="19.26953125" customWidth="1"/>
  </cols>
  <sheetData>
    <row r="1" spans="1:3" x14ac:dyDescent="0.35">
      <c r="A1" s="1" t="s">
        <v>368</v>
      </c>
      <c r="B1" s="1" t="s">
        <v>369</v>
      </c>
    </row>
    <row r="2" spans="1:3" x14ac:dyDescent="0.35">
      <c r="A2" t="s">
        <v>313</v>
      </c>
      <c r="B2" t="s">
        <v>313</v>
      </c>
      <c r="C2" t="b">
        <f>A2=B2</f>
        <v>1</v>
      </c>
    </row>
    <row r="3" spans="1:3" x14ac:dyDescent="0.35">
      <c r="A3" t="s">
        <v>314</v>
      </c>
      <c r="B3" t="s">
        <v>314</v>
      </c>
      <c r="C3" t="b">
        <f t="shared" ref="C3:C56" si="0">A3=B3</f>
        <v>1</v>
      </c>
    </row>
    <row r="4" spans="1:3" x14ac:dyDescent="0.35">
      <c r="A4" t="s">
        <v>315</v>
      </c>
      <c r="B4" t="s">
        <v>315</v>
      </c>
      <c r="C4" t="b">
        <f t="shared" si="0"/>
        <v>1</v>
      </c>
    </row>
    <row r="5" spans="1:3" x14ac:dyDescent="0.35">
      <c r="A5" t="s">
        <v>316</v>
      </c>
      <c r="B5" t="s">
        <v>316</v>
      </c>
      <c r="C5" t="b">
        <f t="shared" si="0"/>
        <v>1</v>
      </c>
    </row>
    <row r="6" spans="1:3" x14ac:dyDescent="0.35">
      <c r="A6" t="s">
        <v>317</v>
      </c>
      <c r="B6" t="s">
        <v>317</v>
      </c>
      <c r="C6" t="b">
        <f t="shared" si="0"/>
        <v>1</v>
      </c>
    </row>
    <row r="7" spans="1:3" x14ac:dyDescent="0.35">
      <c r="A7" t="s">
        <v>318</v>
      </c>
      <c r="B7" t="s">
        <v>318</v>
      </c>
      <c r="C7" t="b">
        <f t="shared" si="0"/>
        <v>1</v>
      </c>
    </row>
    <row r="8" spans="1:3" x14ac:dyDescent="0.35">
      <c r="A8" t="s">
        <v>319</v>
      </c>
      <c r="B8" t="s">
        <v>319</v>
      </c>
      <c r="C8" t="b">
        <f t="shared" si="0"/>
        <v>1</v>
      </c>
    </row>
    <row r="9" spans="1:3" x14ac:dyDescent="0.35">
      <c r="A9" t="s">
        <v>320</v>
      </c>
      <c r="B9" t="s">
        <v>320</v>
      </c>
      <c r="C9" t="b">
        <f t="shared" si="0"/>
        <v>1</v>
      </c>
    </row>
    <row r="10" spans="1:3" x14ac:dyDescent="0.35">
      <c r="A10" t="s">
        <v>321</v>
      </c>
      <c r="B10" t="s">
        <v>321</v>
      </c>
      <c r="C10" t="b">
        <f t="shared" si="0"/>
        <v>1</v>
      </c>
    </row>
    <row r="11" spans="1:3" x14ac:dyDescent="0.35">
      <c r="A11" t="s">
        <v>322</v>
      </c>
      <c r="B11" t="s">
        <v>322</v>
      </c>
      <c r="C11" t="b">
        <f t="shared" si="0"/>
        <v>1</v>
      </c>
    </row>
    <row r="12" spans="1:3" x14ac:dyDescent="0.35">
      <c r="A12" t="s">
        <v>323</v>
      </c>
      <c r="B12" t="s">
        <v>323</v>
      </c>
      <c r="C12" t="b">
        <f t="shared" si="0"/>
        <v>1</v>
      </c>
    </row>
    <row r="13" spans="1:3" x14ac:dyDescent="0.35">
      <c r="A13" t="s">
        <v>324</v>
      </c>
      <c r="B13" t="s">
        <v>324</v>
      </c>
      <c r="C13" t="b">
        <f t="shared" si="0"/>
        <v>1</v>
      </c>
    </row>
    <row r="14" spans="1:3" x14ac:dyDescent="0.35">
      <c r="A14" t="s">
        <v>325</v>
      </c>
      <c r="B14" t="s">
        <v>325</v>
      </c>
      <c r="C14" t="b">
        <f t="shared" si="0"/>
        <v>1</v>
      </c>
    </row>
    <row r="15" spans="1:3" x14ac:dyDescent="0.35">
      <c r="A15" t="s">
        <v>326</v>
      </c>
      <c r="B15" t="s">
        <v>326</v>
      </c>
      <c r="C15" t="b">
        <f t="shared" si="0"/>
        <v>1</v>
      </c>
    </row>
    <row r="16" spans="1:3" x14ac:dyDescent="0.35">
      <c r="A16" t="s">
        <v>327</v>
      </c>
      <c r="B16" t="s">
        <v>327</v>
      </c>
      <c r="C16" t="b">
        <f t="shared" si="0"/>
        <v>1</v>
      </c>
    </row>
    <row r="17" spans="1:3" x14ac:dyDescent="0.35">
      <c r="A17" t="s">
        <v>328</v>
      </c>
      <c r="B17" t="s">
        <v>328</v>
      </c>
      <c r="C17" t="b">
        <f t="shared" si="0"/>
        <v>1</v>
      </c>
    </row>
    <row r="18" spans="1:3" x14ac:dyDescent="0.35">
      <c r="A18" t="s">
        <v>329</v>
      </c>
      <c r="B18" t="s">
        <v>329</v>
      </c>
      <c r="C18" t="b">
        <f t="shared" si="0"/>
        <v>1</v>
      </c>
    </row>
    <row r="19" spans="1:3" x14ac:dyDescent="0.35">
      <c r="A19" t="s">
        <v>330</v>
      </c>
      <c r="B19" t="s">
        <v>330</v>
      </c>
      <c r="C19" t="b">
        <f t="shared" si="0"/>
        <v>1</v>
      </c>
    </row>
    <row r="20" spans="1:3" x14ac:dyDescent="0.35">
      <c r="A20" t="s">
        <v>331</v>
      </c>
      <c r="B20" t="s">
        <v>331</v>
      </c>
      <c r="C20" t="b">
        <f t="shared" si="0"/>
        <v>1</v>
      </c>
    </row>
    <row r="21" spans="1:3" x14ac:dyDescent="0.35">
      <c r="A21" t="s">
        <v>332</v>
      </c>
      <c r="B21" t="s">
        <v>332</v>
      </c>
      <c r="C21" t="b">
        <f t="shared" si="0"/>
        <v>1</v>
      </c>
    </row>
    <row r="22" spans="1:3" x14ac:dyDescent="0.35">
      <c r="A22" t="s">
        <v>333</v>
      </c>
      <c r="B22" t="s">
        <v>333</v>
      </c>
      <c r="C22" t="b">
        <f t="shared" si="0"/>
        <v>1</v>
      </c>
    </row>
    <row r="23" spans="1:3" x14ac:dyDescent="0.35">
      <c r="A23" t="s">
        <v>334</v>
      </c>
      <c r="B23" t="s">
        <v>334</v>
      </c>
      <c r="C23" t="b">
        <f t="shared" si="0"/>
        <v>1</v>
      </c>
    </row>
    <row r="24" spans="1:3" x14ac:dyDescent="0.35">
      <c r="A24" t="s">
        <v>335</v>
      </c>
      <c r="B24" t="s">
        <v>335</v>
      </c>
      <c r="C24" t="b">
        <f t="shared" si="0"/>
        <v>1</v>
      </c>
    </row>
    <row r="25" spans="1:3" x14ac:dyDescent="0.35">
      <c r="A25" t="s">
        <v>336</v>
      </c>
      <c r="B25" t="s">
        <v>336</v>
      </c>
      <c r="C25" t="b">
        <f t="shared" si="0"/>
        <v>1</v>
      </c>
    </row>
    <row r="26" spans="1:3" x14ac:dyDescent="0.35">
      <c r="A26" t="s">
        <v>337</v>
      </c>
      <c r="B26" t="s">
        <v>337</v>
      </c>
      <c r="C26" t="b">
        <f t="shared" si="0"/>
        <v>1</v>
      </c>
    </row>
    <row r="27" spans="1:3" x14ac:dyDescent="0.35">
      <c r="A27" t="s">
        <v>338</v>
      </c>
      <c r="B27" t="s">
        <v>338</v>
      </c>
      <c r="C27" t="b">
        <f t="shared" si="0"/>
        <v>1</v>
      </c>
    </row>
    <row r="28" spans="1:3" x14ac:dyDescent="0.35">
      <c r="A28" t="s">
        <v>339</v>
      </c>
      <c r="B28" t="s">
        <v>339</v>
      </c>
      <c r="C28" t="b">
        <f t="shared" si="0"/>
        <v>1</v>
      </c>
    </row>
    <row r="29" spans="1:3" x14ac:dyDescent="0.35">
      <c r="A29" t="s">
        <v>340</v>
      </c>
      <c r="B29" t="s">
        <v>340</v>
      </c>
      <c r="C29" t="b">
        <f t="shared" si="0"/>
        <v>1</v>
      </c>
    </row>
    <row r="30" spans="1:3" x14ac:dyDescent="0.35">
      <c r="A30" t="s">
        <v>341</v>
      </c>
      <c r="B30" t="s">
        <v>341</v>
      </c>
      <c r="C30" t="b">
        <f t="shared" si="0"/>
        <v>1</v>
      </c>
    </row>
    <row r="31" spans="1:3" x14ac:dyDescent="0.35">
      <c r="A31" t="s">
        <v>342</v>
      </c>
      <c r="B31" t="s">
        <v>342</v>
      </c>
      <c r="C31" t="b">
        <f t="shared" si="0"/>
        <v>1</v>
      </c>
    </row>
    <row r="32" spans="1:3" x14ac:dyDescent="0.35">
      <c r="A32" t="s">
        <v>343</v>
      </c>
      <c r="B32" t="s">
        <v>343</v>
      </c>
      <c r="C32" t="b">
        <f t="shared" si="0"/>
        <v>1</v>
      </c>
    </row>
    <row r="33" spans="1:3" x14ac:dyDescent="0.35">
      <c r="A33" t="s">
        <v>344</v>
      </c>
      <c r="B33" t="s">
        <v>344</v>
      </c>
      <c r="C33" t="b">
        <f t="shared" si="0"/>
        <v>1</v>
      </c>
    </row>
    <row r="34" spans="1:3" x14ac:dyDescent="0.35">
      <c r="A34" t="s">
        <v>345</v>
      </c>
      <c r="B34" t="s">
        <v>345</v>
      </c>
      <c r="C34" t="b">
        <f t="shared" si="0"/>
        <v>1</v>
      </c>
    </row>
    <row r="35" spans="1:3" x14ac:dyDescent="0.35">
      <c r="A35" t="s">
        <v>346</v>
      </c>
      <c r="B35" t="s">
        <v>346</v>
      </c>
      <c r="C35" t="b">
        <f t="shared" si="0"/>
        <v>1</v>
      </c>
    </row>
    <row r="36" spans="1:3" x14ac:dyDescent="0.35">
      <c r="A36" t="s">
        <v>347</v>
      </c>
      <c r="B36" t="s">
        <v>347</v>
      </c>
      <c r="C36" t="b">
        <f t="shared" si="0"/>
        <v>1</v>
      </c>
    </row>
    <row r="37" spans="1:3" x14ac:dyDescent="0.35">
      <c r="A37" t="s">
        <v>348</v>
      </c>
      <c r="B37" t="s">
        <v>348</v>
      </c>
      <c r="C37" t="b">
        <f t="shared" si="0"/>
        <v>1</v>
      </c>
    </row>
    <row r="38" spans="1:3" x14ac:dyDescent="0.35">
      <c r="A38" t="s">
        <v>349</v>
      </c>
      <c r="B38" t="s">
        <v>349</v>
      </c>
      <c r="C38" t="b">
        <f t="shared" si="0"/>
        <v>1</v>
      </c>
    </row>
    <row r="39" spans="1:3" x14ac:dyDescent="0.35">
      <c r="A39" t="s">
        <v>350</v>
      </c>
      <c r="B39" t="s">
        <v>350</v>
      </c>
      <c r="C39" t="b">
        <f t="shared" si="0"/>
        <v>1</v>
      </c>
    </row>
    <row r="40" spans="1:3" x14ac:dyDescent="0.35">
      <c r="A40" t="s">
        <v>351</v>
      </c>
      <c r="B40" t="s">
        <v>351</v>
      </c>
      <c r="C40" t="b">
        <f t="shared" si="0"/>
        <v>1</v>
      </c>
    </row>
    <row r="41" spans="1:3" x14ac:dyDescent="0.35">
      <c r="A41" t="s">
        <v>352</v>
      </c>
      <c r="B41" t="s">
        <v>352</v>
      </c>
      <c r="C41" t="b">
        <f t="shared" si="0"/>
        <v>1</v>
      </c>
    </row>
    <row r="42" spans="1:3" x14ac:dyDescent="0.35">
      <c r="A42" t="s">
        <v>353</v>
      </c>
      <c r="B42" t="s">
        <v>353</v>
      </c>
      <c r="C42" t="b">
        <f t="shared" si="0"/>
        <v>1</v>
      </c>
    </row>
    <row r="43" spans="1:3" x14ac:dyDescent="0.35">
      <c r="A43" t="s">
        <v>354</v>
      </c>
      <c r="B43" t="s">
        <v>354</v>
      </c>
      <c r="C43" t="b">
        <f t="shared" si="0"/>
        <v>1</v>
      </c>
    </row>
    <row r="44" spans="1:3" x14ac:dyDescent="0.35">
      <c r="A44" t="s">
        <v>355</v>
      </c>
      <c r="B44" t="s">
        <v>355</v>
      </c>
      <c r="C44" t="b">
        <f t="shared" si="0"/>
        <v>1</v>
      </c>
    </row>
    <row r="45" spans="1:3" x14ac:dyDescent="0.35">
      <c r="A45" t="s">
        <v>356</v>
      </c>
      <c r="B45" t="s">
        <v>356</v>
      </c>
      <c r="C45" t="b">
        <f t="shared" si="0"/>
        <v>1</v>
      </c>
    </row>
    <row r="46" spans="1:3" x14ac:dyDescent="0.35">
      <c r="A46" t="s">
        <v>357</v>
      </c>
      <c r="B46" t="s">
        <v>357</v>
      </c>
      <c r="C46" t="b">
        <f t="shared" si="0"/>
        <v>1</v>
      </c>
    </row>
    <row r="47" spans="1:3" x14ac:dyDescent="0.35">
      <c r="A47" t="s">
        <v>358</v>
      </c>
      <c r="B47" t="s">
        <v>358</v>
      </c>
      <c r="C47" t="b">
        <f t="shared" si="0"/>
        <v>1</v>
      </c>
    </row>
    <row r="48" spans="1:3" x14ac:dyDescent="0.35">
      <c r="A48" t="s">
        <v>359</v>
      </c>
      <c r="B48" t="s">
        <v>359</v>
      </c>
      <c r="C48" t="b">
        <f t="shared" si="0"/>
        <v>1</v>
      </c>
    </row>
    <row r="49" spans="1:3" x14ac:dyDescent="0.35">
      <c r="A49" t="s">
        <v>360</v>
      </c>
      <c r="B49" t="s">
        <v>360</v>
      </c>
      <c r="C49" t="b">
        <f t="shared" si="0"/>
        <v>1</v>
      </c>
    </row>
    <row r="50" spans="1:3" x14ac:dyDescent="0.35">
      <c r="A50" t="s">
        <v>361</v>
      </c>
      <c r="B50" t="s">
        <v>361</v>
      </c>
      <c r="C50" t="b">
        <f t="shared" si="0"/>
        <v>1</v>
      </c>
    </row>
    <row r="51" spans="1:3" x14ac:dyDescent="0.35">
      <c r="A51" t="s">
        <v>362</v>
      </c>
      <c r="B51" t="s">
        <v>362</v>
      </c>
      <c r="C51" t="b">
        <f t="shared" si="0"/>
        <v>1</v>
      </c>
    </row>
    <row r="52" spans="1:3" x14ac:dyDescent="0.35">
      <c r="A52" t="s">
        <v>363</v>
      </c>
      <c r="B52" t="s">
        <v>363</v>
      </c>
      <c r="C52" t="b">
        <f t="shared" si="0"/>
        <v>1</v>
      </c>
    </row>
    <row r="53" spans="1:3" x14ac:dyDescent="0.35">
      <c r="A53" t="s">
        <v>364</v>
      </c>
      <c r="B53" t="s">
        <v>364</v>
      </c>
      <c r="C53" t="b">
        <f t="shared" si="0"/>
        <v>1</v>
      </c>
    </row>
    <row r="54" spans="1:3" x14ac:dyDescent="0.35">
      <c r="A54" s="2" t="s">
        <v>367</v>
      </c>
      <c r="B54" t="s">
        <v>365</v>
      </c>
      <c r="C54" t="b">
        <f t="shared" si="0"/>
        <v>0</v>
      </c>
    </row>
    <row r="55" spans="1:3" x14ac:dyDescent="0.35">
      <c r="A55" t="s">
        <v>365</v>
      </c>
      <c r="B55" t="s">
        <v>366</v>
      </c>
      <c r="C55" t="b">
        <f t="shared" si="0"/>
        <v>0</v>
      </c>
    </row>
    <row r="56" spans="1:3" x14ac:dyDescent="0.35">
      <c r="A56" t="s">
        <v>366</v>
      </c>
      <c r="C56" t="b">
        <f t="shared" si="0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OCTOBER_2024</vt:lpstr>
      <vt:lpstr>PDL1-2026</vt:lpstr>
      <vt:lpstr>OCTOBER_2024-tiles and WSIs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Tommy</dc:creator>
  <cp:lastModifiedBy>Abhineet</cp:lastModifiedBy>
  <dcterms:created xsi:type="dcterms:W3CDTF">2015-06-05T18:17:20Z</dcterms:created>
  <dcterms:modified xsi:type="dcterms:W3CDTF">2026-08-13T21:47:20Z</dcterms:modified>
</cp:coreProperties>
</file>